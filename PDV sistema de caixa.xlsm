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GT AQUINO\OneDrive\Excel\"/>
    </mc:Choice>
  </mc:AlternateContent>
  <xr:revisionPtr revIDLastSave="0" documentId="13_ncr:1_{46C4693B-D1C6-4AAF-A84A-C101674E403E}" xr6:coauthVersionLast="47" xr6:coauthVersionMax="47" xr10:uidLastSave="{00000000-0000-0000-0000-000000000000}"/>
  <bookViews>
    <workbookView showSheetTabs="0" xWindow="-120" yWindow="-120" windowWidth="20730" windowHeight="11160" tabRatio="891" xr2:uid="{58CB16D8-7D45-47F8-A668-C0F3B53EDD80}"/>
  </bookViews>
  <sheets>
    <sheet name="VENDAS" sheetId="3" r:id="rId1"/>
    <sheet name="TABELA AUX" sheetId="9" state="hidden" r:id="rId2"/>
    <sheet name="CARRINHO" sheetId="6" state="hidden" r:id="rId3"/>
    <sheet name="PRODUTOS" sheetId="1" state="hidden" r:id="rId4"/>
    <sheet name="CLIENTES" sheetId="2" state="hidden" r:id="rId5"/>
    <sheet name="FUNCIONARIOS" sheetId="5" state="hidden" r:id="rId6"/>
    <sheet name="NOTINHA" sheetId="7" state="hidden" r:id="rId7"/>
    <sheet name="BANCO DE DADOS" sheetId="4" state="hidden" r:id="rId8"/>
    <sheet name="CATEGORIA DE PRODUTOS" sheetId="8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" i="7" l="1"/>
  <c r="A31" i="7"/>
  <c r="A2" i="2" a="1"/>
  <c r="A2" i="2" s="1"/>
  <c r="B23" i="2"/>
  <c r="A5" i="5"/>
  <c r="B22" i="2"/>
  <c r="A4" i="5"/>
  <c r="B21" i="2"/>
  <c r="B20" i="2"/>
  <c r="F10" i="3" a="1"/>
  <c r="F10" i="3" s="1"/>
  <c r="B2" i="6" s="1"/>
  <c r="Q11" i="3"/>
  <c r="F13" i="3" a="1"/>
  <c r="F13" i="3" s="1"/>
  <c r="F19" i="3" s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2" i="9"/>
  <c r="B19" i="2"/>
  <c r="A6" i="7"/>
  <c r="D28" i="7"/>
  <c r="D27" i="7"/>
  <c r="A13" i="1"/>
  <c r="A14" i="1"/>
  <c r="A15" i="1"/>
  <c r="A16" i="1"/>
  <c r="A8" i="7"/>
  <c r="B18" i="2"/>
  <c r="A3" i="5"/>
  <c r="A2" i="5"/>
  <c r="B17" i="2"/>
  <c r="B19" i="3" a="1"/>
  <c r="B19" i="3" s="1"/>
  <c r="B22" i="3" a="1"/>
  <c r="B22" i="3" s="1"/>
  <c r="A2" i="6" s="1"/>
  <c r="B16" i="2"/>
  <c r="B15" i="2"/>
  <c r="B14" i="2"/>
  <c r="B13" i="2"/>
  <c r="B12" i="2"/>
  <c r="B11" i="2"/>
  <c r="B10" i="2"/>
  <c r="B9" i="2"/>
  <c r="B8" i="2"/>
  <c r="B7" i="2"/>
  <c r="B6" i="2"/>
  <c r="A3" i="1"/>
  <c r="A4" i="1"/>
  <c r="A5" i="1"/>
  <c r="A6" i="1"/>
  <c r="A7" i="1"/>
  <c r="A8" i="1"/>
  <c r="A9" i="1"/>
  <c r="A10" i="1"/>
  <c r="A11" i="1"/>
  <c r="A12" i="1"/>
  <c r="A2" i="1"/>
  <c r="B5" i="2"/>
  <c r="B4" i="2"/>
  <c r="B3" i="2"/>
  <c r="B2" i="2"/>
  <c r="F2" i="6"/>
  <c r="D2" i="6"/>
  <c r="C2" i="6"/>
  <c r="G1" i="6"/>
  <c r="D1" i="6"/>
  <c r="F1" i="6"/>
  <c r="E1" i="6"/>
  <c r="B1" i="6"/>
  <c r="C1" i="6"/>
  <c r="A1" i="6"/>
  <c r="A7" i="7" l="1"/>
  <c r="D29" i="7"/>
  <c r="G2" i="6"/>
  <c r="E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<sst xmlns="http://schemas.openxmlformats.org/spreadsheetml/2006/main" count="556" uniqueCount="139">
  <si>
    <t>PRODUTOS</t>
  </si>
  <si>
    <t>BATATA MÉDIA</t>
  </si>
  <si>
    <t>BATATA GRANDE</t>
  </si>
  <si>
    <t>DESAFIO</t>
  </si>
  <si>
    <t>REFRIGERANTE</t>
  </si>
  <si>
    <t>SUCO</t>
  </si>
  <si>
    <t>CÓDIGO</t>
  </si>
  <si>
    <t>NOME</t>
  </si>
  <si>
    <t>CARGO</t>
  </si>
  <si>
    <t>VINI</t>
  </si>
  <si>
    <t>|</t>
  </si>
  <si>
    <t>QUANTIDADE DO PRODUTO</t>
  </si>
  <si>
    <t>SUBTOTAL DO CARRINHO</t>
  </si>
  <si>
    <t>TOTAL RECEBIDO</t>
  </si>
  <si>
    <t>TROCO</t>
  </si>
  <si>
    <t>MÉTODO DE PAGAMENTO</t>
  </si>
  <si>
    <t>DESCONTO</t>
  </si>
  <si>
    <t>TOTAL DO ITEM</t>
  </si>
  <si>
    <t>Total</t>
  </si>
  <si>
    <t>Valor Unit.</t>
  </si>
  <si>
    <t>Pagamento</t>
  </si>
  <si>
    <t>LISTA DE PRODUTOS</t>
  </si>
  <si>
    <t>CLIENTE</t>
  </si>
  <si>
    <t>Pesquisa</t>
  </si>
  <si>
    <t>SISTEMA DE VENDAS BATATOLÂNDIA</t>
  </si>
  <si>
    <t>ID CLIENTE</t>
  </si>
  <si>
    <t>TELEFONE</t>
  </si>
  <si>
    <t>ID PRODUTO</t>
  </si>
  <si>
    <t>NOME PRODUTO</t>
  </si>
  <si>
    <t>Nome Produto</t>
  </si>
  <si>
    <t>VALOR PRODUTO</t>
  </si>
  <si>
    <t>INSTAGRAM</t>
  </si>
  <si>
    <t>WHATSAPP</t>
  </si>
  <si>
    <t>VINI09</t>
  </si>
  <si>
    <t>RAYLLA</t>
  </si>
  <si>
    <t>RAY00</t>
  </si>
  <si>
    <t>DAVI LUCCA</t>
  </si>
  <si>
    <t>DAVIL</t>
  </si>
  <si>
    <t>RAY</t>
  </si>
  <si>
    <t>Vinicius Vieira</t>
  </si>
  <si>
    <t/>
  </si>
  <si>
    <t>RAYANE</t>
  </si>
  <si>
    <t xml:space="preserve">SALVADOR </t>
  </si>
  <si>
    <t xml:space="preserve">RAQUEL </t>
  </si>
  <si>
    <t>ANA</t>
  </si>
  <si>
    <t>CAMILA</t>
  </si>
  <si>
    <t>Yolanda Costa</t>
  </si>
  <si>
    <t>Yolanda</t>
  </si>
  <si>
    <t>Yolanda de Oliveira</t>
  </si>
  <si>
    <t>Vinicius Souza</t>
  </si>
  <si>
    <t>21966334395</t>
  </si>
  <si>
    <t>Rafael Nascimento</t>
  </si>
  <si>
    <t>Rnascimento</t>
  </si>
  <si>
    <t>14/10/1985</t>
  </si>
  <si>
    <t>21982450248</t>
  </si>
  <si>
    <t>DATA DE NASCIMENTO</t>
  </si>
  <si>
    <t>DATA  DE NASCIMENTO</t>
  </si>
  <si>
    <t>VALOR UNITÁRIO</t>
  </si>
  <si>
    <t>QUANTIDADE ESTOQUE</t>
  </si>
  <si>
    <t>WHATSAAP</t>
  </si>
  <si>
    <t>ENDEREÇO</t>
  </si>
  <si>
    <t>Vinicius Aquino</t>
  </si>
  <si>
    <t>Ceo</t>
  </si>
  <si>
    <t>14/02/1996</t>
  </si>
  <si>
    <t>21982027943</t>
  </si>
  <si>
    <t>Av. João Alberto, lote: 06, quadra: 29, Parque Eldorado, Duque de Caxias, RJ</t>
  </si>
  <si>
    <t>Raylla Costa</t>
  </si>
  <si>
    <t>21900000000</t>
  </si>
  <si>
    <t>João Victor</t>
  </si>
  <si>
    <t>null</t>
  </si>
  <si>
    <t>01/01/2000</t>
  </si>
  <si>
    <t>21982027878</t>
  </si>
  <si>
    <t>ID_PEDIDO</t>
  </si>
  <si>
    <t>ID_PRODUTO</t>
  </si>
  <si>
    <t>ID_CLIENTE</t>
  </si>
  <si>
    <t>QTD_VENDIDA</t>
  </si>
  <si>
    <t>CUSTO_UNIT</t>
  </si>
  <si>
    <t>DATA_VENDA</t>
  </si>
  <si>
    <t>ID CATEGORIA</t>
  </si>
  <si>
    <t>Qtd. Vendida</t>
  </si>
  <si>
    <t>ID Produto</t>
  </si>
  <si>
    <t>ID Cliente</t>
  </si>
  <si>
    <t>BATATOLÂNDIA</t>
  </si>
  <si>
    <t>PARQUE ELDORADO - DUQUE DE CAXIAS -RJ</t>
  </si>
  <si>
    <t>RUA AV. JOÃO ALBERTO, LT: 06 QD: 29, 25240-395</t>
  </si>
  <si>
    <t>TEL: (21) 98888-8888 / (21) 98888-8888</t>
  </si>
  <si>
    <t>CNPJ: 00.000.000/0001-00</t>
  </si>
  <si>
    <t>Nº</t>
  </si>
  <si>
    <t>Não Identificado</t>
  </si>
  <si>
    <t>Não Tem</t>
  </si>
  <si>
    <t>Total da nota:</t>
  </si>
  <si>
    <t>Valor Recebido:</t>
  </si>
  <si>
    <t>Troco:</t>
  </si>
  <si>
    <t xml:space="preserve">OBS: este comprovante de venda,  se limita apenas à discriminar os itens adquiridos em uma compra, para possível conferência por parte do consumidor, ou mesmo para controle interno da empresa que realizou o serviço ou forneceu determinado produto. </t>
  </si>
  <si>
    <t>BATATA PEQUENA</t>
  </si>
  <si>
    <t>BATATA PEQUENA
 CHEDDAR</t>
  </si>
  <si>
    <t>BATATA PEQUENA
 CHEDDAR E CREAM CHEESE</t>
  </si>
  <si>
    <t>BATATA PEQUENA
CREAM CHEESE</t>
  </si>
  <si>
    <t>BATATA MÉDIA
 CHEDDAR</t>
  </si>
  <si>
    <t>BATATA MÉDIA
CREAM CHEESE</t>
  </si>
  <si>
    <t>BATATA MÉDIA
 CHEDDAR E CREAM CHEESE</t>
  </si>
  <si>
    <t>BATATA GRANDE
 CHEDDAR</t>
  </si>
  <si>
    <t>BATATA GRANDE
CREAM CHEESE</t>
  </si>
  <si>
    <t>BATATA GRANDE
 CHEDDAR E CREAM CHEESE</t>
  </si>
  <si>
    <t>Qtd</t>
  </si>
  <si>
    <t>Vinicius Aquino09</t>
  </si>
  <si>
    <t>148/02/1996</t>
  </si>
  <si>
    <t>CARTÃO DE CRÉDITO</t>
  </si>
  <si>
    <t>ID PEDIDO</t>
  </si>
  <si>
    <t>NOME_ PRODUTO</t>
  </si>
  <si>
    <t>PAGAMENTO</t>
  </si>
  <si>
    <t>VALOR_UNIT</t>
  </si>
  <si>
    <t>CUSTO_INIT</t>
  </si>
  <si>
    <t>ID DOS PRODUTOS DA LISTA DE COMPRA</t>
  </si>
  <si>
    <t>Marques</t>
  </si>
  <si>
    <t>17/06/1996</t>
  </si>
  <si>
    <t>21988888888</t>
  </si>
  <si>
    <t>DINHEIRO</t>
  </si>
  <si>
    <t>VINCI</t>
  </si>
  <si>
    <t>10/05/2010</t>
  </si>
  <si>
    <t>RUA: JBRIJWEBVIAJEBVIYUARWEJOUVB</t>
  </si>
  <si>
    <t>CARTÃO DE DÉBITO</t>
  </si>
  <si>
    <t>PIX</t>
  </si>
  <si>
    <t>Sim, coisas grandiosas fez o Senhor por nós, por isso estamos alegres.
- Salmos 126:3</t>
  </si>
  <si>
    <t>SENHA DE USUÁRIO</t>
  </si>
  <si>
    <t>13/02/1996</t>
  </si>
  <si>
    <t>Pedro</t>
  </si>
  <si>
    <t>@teste</t>
  </si>
  <si>
    <t>João</t>
  </si>
  <si>
    <t>12/02/1996</t>
  </si>
  <si>
    <t>21982027879</t>
  </si>
  <si>
    <t>rua. keakake</t>
  </si>
  <si>
    <t>123</t>
  </si>
  <si>
    <t>ATENDENTE</t>
  </si>
  <si>
    <t>Matheus</t>
  </si>
  <si>
    <t>12/11/1966</t>
  </si>
  <si>
    <t>Anna Karoline</t>
  </si>
  <si>
    <t>Atendente</t>
  </si>
  <si>
    <t>Aquino09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</si>
</sst>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[&lt;=9999999]###\-####;\(##\)#####\-####"/>
    <numFmt numFmtId="167" formatCode="m/d/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28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Amasis MT Pro Black"/>
      <family val="1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1" fontId="0" fillId="0" borderId="0" xfId="0" applyNumberFormat="1"/>
    <xf numFmtId="0" fontId="0" fillId="3" borderId="0" xfId="0" applyFill="1"/>
    <xf numFmtId="0" fontId="5" fillId="3" borderId="0" xfId="0" applyFont="1" applyFill="1"/>
    <xf numFmtId="0" fontId="3" fillId="3" borderId="0" xfId="0" applyFont="1" applyFill="1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/>
    <xf numFmtId="1" fontId="0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/>
    <xf numFmtId="22" fontId="7" fillId="0" borderId="4" xfId="0" applyNumberFormat="1" applyFont="1" applyBorder="1" applyAlignment="1">
      <alignment horizontal="left"/>
    </xf>
    <xf numFmtId="0" fontId="0" fillId="0" borderId="4" xfId="0" applyBorder="1"/>
    <xf numFmtId="0" fontId="10" fillId="0" borderId="4" xfId="0" applyFont="1" applyBorder="1"/>
    <xf numFmtId="0" fontId="11" fillId="0" borderId="0" xfId="0" applyFont="1"/>
    <xf numFmtId="0" fontId="0" fillId="0" borderId="2" xfId="0" applyBorder="1"/>
    <xf numFmtId="0" fontId="9" fillId="0" borderId="2" xfId="0" applyFont="1" applyBorder="1"/>
    <xf numFmtId="0" fontId="9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13" fillId="0" borderId="0" xfId="0" applyFont="1"/>
    <xf numFmtId="164" fontId="6" fillId="2" borderId="0" xfId="1" applyFont="1" applyFill="1" applyAlignment="1"/>
    <xf numFmtId="164" fontId="0" fillId="3" borderId="0" xfId="0" applyNumberFormat="1" applyFill="1"/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0" fillId="0" borderId="0" xfId="0" applyFont="1" applyAlignment="1">
      <alignment vertical="justify" wrapText="1"/>
    </xf>
    <xf numFmtId="164" fontId="6" fillId="2" borderId="0" xfId="1" applyFont="1" applyFill="1" applyBorder="1" applyAlignment="1"/>
    <xf numFmtId="0" fontId="10" fillId="0" borderId="0" xfId="0" applyFont="1"/>
    <xf numFmtId="0" fontId="12" fillId="0" borderId="0" xfId="0" applyFont="1"/>
    <xf numFmtId="0" fontId="13" fillId="0" borderId="0" xfId="0" applyFont="1" applyAlignment="1">
      <alignment horizontal="center" vertical="center" wrapText="1"/>
    </xf>
    <xf numFmtId="0" fontId="14" fillId="3" borderId="0" xfId="0" applyFont="1" applyFill="1"/>
    <xf numFmtId="0" fontId="13" fillId="3" borderId="0" xfId="0" applyFont="1" applyFill="1"/>
    <xf numFmtId="0" fontId="16" fillId="0" borderId="0" xfId="0" applyFont="1" applyAlignment="1">
      <alignment horizontal="right"/>
    </xf>
    <xf numFmtId="0" fontId="17" fillId="0" borderId="0" xfId="0" applyFont="1"/>
    <xf numFmtId="0" fontId="15" fillId="0" borderId="0" xfId="0" applyFont="1"/>
    <xf numFmtId="9" fontId="0" fillId="3" borderId="0" xfId="2" applyFont="1" applyFill="1"/>
    <xf numFmtId="167" fontId="0" fillId="0" borderId="0" xfId="0" applyNumberFormat="1"/>
    <xf numFmtId="0" fontId="19" fillId="0" borderId="2" xfId="0" applyFont="1" applyBorder="1"/>
    <xf numFmtId="164" fontId="6" fillId="2" borderId="0" xfId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9" fontId="18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1" applyNumberFormat="1" applyFont="1" applyFill="1" applyBorder="1" applyAlignment="1">
      <alignment horizontal="center" vertical="center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165" fontId="0" fillId="2" borderId="0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165" fontId="6" fillId="2" borderId="0" xfId="1" applyNumberFormat="1" applyFont="1" applyFill="1" applyAlignment="1">
      <alignment horizontal="center"/>
    </xf>
    <xf numFmtId="164" fontId="6" fillId="2" borderId="0" xfId="1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165" fontId="9" fillId="0" borderId="2" xfId="0" applyNumberFormat="1" applyFont="1" applyBorder="1" applyAlignment="1">
      <alignment horizontal="center"/>
    </xf>
    <xf numFmtId="165" fontId="9" fillId="0" borderId="0" xfId="0" applyNumberFormat="1" applyFont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10" fillId="0" borderId="0" xfId="0" applyFont="1" applyAlignment="1">
      <alignment horizontal="justify" vertical="justify" wrapText="1"/>
    </xf>
    <xf numFmtId="0" fontId="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22" fontId="15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12">
    <dxf>
      <numFmt numFmtId="167" formatCode="m/d/yyyy"/>
    </dxf>
    <dxf>
      <numFmt numFmtId="167" formatCode="m/d/yyyy"/>
    </dxf>
    <dxf>
      <numFmt numFmtId="167" formatCode="m/d/yyyy"/>
    </dxf>
    <dxf>
      <numFmt numFmtId="1" formatCode="0"/>
    </dxf>
    <dxf>
      <numFmt numFmtId="166" formatCode="[&lt;=9999999]###\-####;\(##\)#####\-####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4</xdr:row>
      <xdr:rowOff>57150</xdr:rowOff>
    </xdr:from>
    <xdr:to>
      <xdr:col>3</xdr:col>
      <xdr:colOff>485775</xdr:colOff>
      <xdr:row>12</xdr:row>
      <xdr:rowOff>35859</xdr:rowOff>
    </xdr:to>
    <xdr:pic macro="[0]!finaliza_por_tempo">
      <xdr:nvPicPr>
        <xdr:cNvPr id="3" name="Imagem 2">
          <a:extLst>
            <a:ext uri="{FF2B5EF4-FFF2-40B4-BE49-F238E27FC236}">
              <a16:creationId xmlns:a16="http://schemas.microsoft.com/office/drawing/2014/main" id="{A4260A6E-7616-99CE-3CC4-973678694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9150"/>
          <a:ext cx="1562100" cy="1581150"/>
        </a:xfrm>
        <a:prstGeom prst="flowChartConnector">
          <a:avLst/>
        </a:prstGeom>
      </xdr:spPr>
    </xdr:pic>
    <xdr:clientData/>
  </xdr:twoCellAnchor>
  <xdr:twoCellAnchor>
    <xdr:from>
      <xdr:col>1</xdr:col>
      <xdr:colOff>104775</xdr:colOff>
      <xdr:row>22</xdr:row>
      <xdr:rowOff>152400</xdr:rowOff>
    </xdr:from>
    <xdr:to>
      <xdr:col>3</xdr:col>
      <xdr:colOff>523875</xdr:colOff>
      <xdr:row>25</xdr:row>
      <xdr:rowOff>133350</xdr:rowOff>
    </xdr:to>
    <xdr:sp macro="[0]!ADDCARR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73FA88-C489-E4F4-D01D-A5650EC2A8DE}"/>
            </a:ext>
          </a:extLst>
        </xdr:cNvPr>
        <xdr:cNvSpPr/>
      </xdr:nvSpPr>
      <xdr:spPr>
        <a:xfrm>
          <a:off x="238125" y="4343400"/>
          <a:ext cx="1638300" cy="5524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ADICIONAR AO CARRINHO</a:t>
          </a:r>
        </a:p>
      </xdr:txBody>
    </xdr:sp>
    <xdr:clientData/>
  </xdr:twoCellAnchor>
  <xdr:twoCellAnchor>
    <xdr:from>
      <xdr:col>5</xdr:col>
      <xdr:colOff>438150</xdr:colOff>
      <xdr:row>22</xdr:row>
      <xdr:rowOff>152400</xdr:rowOff>
    </xdr:from>
    <xdr:to>
      <xdr:col>8</xdr:col>
      <xdr:colOff>247650</xdr:colOff>
      <xdr:row>25</xdr:row>
      <xdr:rowOff>133350</xdr:rowOff>
    </xdr:to>
    <xdr:sp macro="[0]!CADASTROCLIENT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A91A0C3-7DDA-44E5-ADBE-F4AE3D63F4AB}"/>
            </a:ext>
          </a:extLst>
        </xdr:cNvPr>
        <xdr:cNvSpPr/>
      </xdr:nvSpPr>
      <xdr:spPr>
        <a:xfrm>
          <a:off x="2533650" y="4343400"/>
          <a:ext cx="1638300" cy="5524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CADASTRAR CLIENTE</a:t>
          </a:r>
        </a:p>
      </xdr:txBody>
    </xdr:sp>
    <xdr:clientData/>
  </xdr:twoCellAnchor>
  <xdr:twoCellAnchor>
    <xdr:from>
      <xdr:col>17</xdr:col>
      <xdr:colOff>112060</xdr:colOff>
      <xdr:row>13</xdr:row>
      <xdr:rowOff>244849</xdr:rowOff>
    </xdr:from>
    <xdr:to>
      <xdr:col>21</xdr:col>
      <xdr:colOff>79560</xdr:colOff>
      <xdr:row>17</xdr:row>
      <xdr:rowOff>246529</xdr:rowOff>
    </xdr:to>
    <xdr:sp macro="[0]!finaliza_compr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04DA02F-8862-4345-BA77-671FD64EEE75}"/>
            </a:ext>
          </a:extLst>
        </xdr:cNvPr>
        <xdr:cNvSpPr/>
      </xdr:nvSpPr>
      <xdr:spPr>
        <a:xfrm>
          <a:off x="12573001" y="2878231"/>
          <a:ext cx="2085412" cy="1077445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FINALIZAR COMPRA</a:t>
          </a:r>
        </a:p>
      </xdr:txBody>
    </xdr:sp>
    <xdr:clientData/>
  </xdr:twoCellAnchor>
  <xdr:twoCellAnchor>
    <xdr:from>
      <xdr:col>1</xdr:col>
      <xdr:colOff>104775</xdr:colOff>
      <xdr:row>27</xdr:row>
      <xdr:rowOff>95250</xdr:rowOff>
    </xdr:from>
    <xdr:to>
      <xdr:col>3</xdr:col>
      <xdr:colOff>523875</xdr:colOff>
      <xdr:row>30</xdr:row>
      <xdr:rowOff>76200</xdr:rowOff>
    </xdr:to>
    <xdr:sp macro="[0]!RETIRARCARRINH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4B34CBB-02EB-4F31-A8DC-747893F58AD8}"/>
            </a:ext>
          </a:extLst>
        </xdr:cNvPr>
        <xdr:cNvSpPr/>
      </xdr:nvSpPr>
      <xdr:spPr>
        <a:xfrm>
          <a:off x="238125" y="5238750"/>
          <a:ext cx="1638300" cy="5524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RETIRAR DO CARRINHO</a:t>
          </a:r>
        </a:p>
      </xdr:txBody>
    </xdr:sp>
    <xdr:clientData/>
  </xdr:twoCellAnchor>
  <xdr:twoCellAnchor>
    <xdr:from>
      <xdr:col>5</xdr:col>
      <xdr:colOff>428625</xdr:colOff>
      <xdr:row>27</xdr:row>
      <xdr:rowOff>104775</xdr:rowOff>
    </xdr:from>
    <xdr:to>
      <xdr:col>8</xdr:col>
      <xdr:colOff>238125</xdr:colOff>
      <xdr:row>30</xdr:row>
      <xdr:rowOff>85725</xdr:rowOff>
    </xdr:to>
    <xdr:sp macro="[0]!CADASTROFUNCIONARI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7DE1F30-AA00-42CC-8B90-9032F6239B7B}"/>
            </a:ext>
          </a:extLst>
        </xdr:cNvPr>
        <xdr:cNvSpPr/>
      </xdr:nvSpPr>
      <xdr:spPr>
        <a:xfrm>
          <a:off x="2524125" y="5248275"/>
          <a:ext cx="1638300" cy="5524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CADASTRAR FUNCIONÁRIOS</a:t>
          </a:r>
        </a:p>
      </xdr:txBody>
    </xdr:sp>
    <xdr:clientData/>
  </xdr:twoCellAnchor>
  <xdr:twoCellAnchor>
    <xdr:from>
      <xdr:col>21</xdr:col>
      <xdr:colOff>44823</xdr:colOff>
      <xdr:row>1</xdr:row>
      <xdr:rowOff>22412</xdr:rowOff>
    </xdr:from>
    <xdr:to>
      <xdr:col>23</xdr:col>
      <xdr:colOff>123265</xdr:colOff>
      <xdr:row>3</xdr:row>
      <xdr:rowOff>156882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E00A74-B259-6B36-5E55-072FE51965F7}"/>
            </a:ext>
          </a:extLst>
        </xdr:cNvPr>
        <xdr:cNvSpPr/>
      </xdr:nvSpPr>
      <xdr:spPr>
        <a:xfrm>
          <a:off x="14623676" y="212912"/>
          <a:ext cx="347383" cy="51547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40342</xdr:colOff>
      <xdr:row>28</xdr:row>
      <xdr:rowOff>112059</xdr:rowOff>
    </xdr:from>
    <xdr:to>
      <xdr:col>22</xdr:col>
      <xdr:colOff>7842</xdr:colOff>
      <xdr:row>30</xdr:row>
      <xdr:rowOff>73958</xdr:rowOff>
    </xdr:to>
    <xdr:sp macro="[0]!trocar_usuari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B4B8533-6E22-4BD6-99B6-CB740194CE69}"/>
            </a:ext>
          </a:extLst>
        </xdr:cNvPr>
        <xdr:cNvSpPr/>
      </xdr:nvSpPr>
      <xdr:spPr>
        <a:xfrm>
          <a:off x="12635754" y="6779559"/>
          <a:ext cx="2085412" cy="42134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Trocar de Usuário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976</v>
    <v>6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E71447-02C9-446C-8004-A87138072E12}" name="Tabela2" displayName="Tabela2" ref="A1:F16" totalsRowShown="0">
  <tableColumns count="6">
    <tableColumn id="1" xr3:uid="{49554057-5A5D-4109-898C-471F48A1B057}" name="ID PRODUTO" dataDxfId="10">
      <calculatedColumnFormula>ROW()-1</calculatedColumnFormula>
    </tableColumn>
    <tableColumn id="2" xr3:uid="{884CB3A8-7F7F-4F7A-8D95-8A82A7650C3F}" name="PRODUTOS" dataDxfId="9"/>
    <tableColumn id="3" xr3:uid="{8F26427D-8F04-4FF7-A11E-365B74D105A9}" name="VALOR UNITÁRIO" dataDxfId="8" dataCellStyle="Moeda"/>
    <tableColumn id="4" xr3:uid="{6F8F263F-44B7-4460-93F0-8BC28D46C5ED}" name="QUANTIDADE ESTOQUE" dataDxfId="7" dataCellStyle="Moeda"/>
    <tableColumn id="5" xr3:uid="{34E15EBE-FEC3-4315-9C0D-DF708A6057FC}" name="CUSTO_UNIT" dataDxfId="6"/>
    <tableColumn id="6" xr3:uid="{C09A217B-2BE4-4120-8142-54C912D25D6C}" name="ID CATEGORIA" dataDxfId="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D48467-F0A0-4CEA-84AF-E4829C0B5A24}" name="Tabela1" displayName="Tabela1" ref="B1:F23" totalsRowShown="0">
  <autoFilter ref="B1:F23" xr:uid="{6CD48467-F0A0-4CEA-84AF-E4829C0B5A24}"/>
  <tableColumns count="5">
    <tableColumn id="1" xr3:uid="{4523549E-1175-42C8-8D87-D5D76C79C4FF}" name="ID CLIENTE">
      <calculatedColumnFormula>ROW()-1</calculatedColumnFormula>
    </tableColumn>
    <tableColumn id="2" xr3:uid="{2555455E-0002-461F-A7AD-C6E7CAD6AE2C}" name="NOME"/>
    <tableColumn id="3" xr3:uid="{7E303774-4689-4E8A-B6CB-30CB9FC557D3}" name="INSTAGRAM"/>
    <tableColumn id="4" xr3:uid="{ADB37006-9AAB-4A93-B302-C4CE6EE0B1CE}" name="DATA DE NASCIMENTO"/>
    <tableColumn id="5" xr3:uid="{67CD6701-08EF-4CBD-B938-A7A0FBCF860F}" name="WHATSAPP" dataDxfId="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66A645-E8E2-4E1E-9CA4-00F63575BD0B}" name="Tabela3" displayName="Tabela3" ref="A1:G5" totalsRowShown="0">
  <autoFilter ref="A1:G5" xr:uid="{2466A645-E8E2-4E1E-9CA4-00F63575BD0B}"/>
  <tableColumns count="7">
    <tableColumn id="1" xr3:uid="{ED68E496-AB68-4E3C-92B0-F1CD7AFF089E}" name="CÓDIGO" dataDxfId="3">
      <calculatedColumnFormula>ROW()-1</calculatedColumnFormula>
    </tableColumn>
    <tableColumn id="2" xr3:uid="{557AED27-1E10-40CF-BE11-8DCF0C978CF1}" name="NOME"/>
    <tableColumn id="3" xr3:uid="{EE1581BC-B721-4596-A5CA-43BC9C8A5DBF}" name="CARGO"/>
    <tableColumn id="4" xr3:uid="{A721D1E3-095C-4672-8DAD-A8154FE176EB}" name="DATA  DE NASCIMENTO"/>
    <tableColumn id="6" xr3:uid="{B201A099-4C1C-40A7-9D4F-9D593CE436AA}" name="WHATSAAP" dataDxfId="2"/>
    <tableColumn id="5" xr3:uid="{C2E2CFCB-62E2-4B93-B911-B13EC011C247}" name="ENDEREÇO" dataDxfId="1"/>
    <tableColumn id="7" xr3:uid="{D76BCDD0-E04A-4FF1-9B07-4F93E4957D98}" name="SENHA DE USUÁRI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F7BFD-ABDB-4135-B340-A825E21EA694}" name="Tabela4" displayName="Tabela4" ref="A1:J67" totalsRowShown="0">
  <autoFilter ref="A1:J67" xr:uid="{446F7BFD-ABDB-4135-B340-A825E21EA694}"/>
  <tableColumns count="10">
    <tableColumn id="1" xr3:uid="{8E2E1878-C68D-4D21-8D45-24DA63BFA8E3}" name="ID_PEDIDO"/>
    <tableColumn id="2" xr3:uid="{AC79182D-5819-4FD4-B679-39DD4509578F}" name="ID_CLIENTE"/>
    <tableColumn id="3" xr3:uid="{26FA25AC-33FE-4073-9D5D-1AF294FE233F}" name="ID_PRODUTO"/>
    <tableColumn id="11" xr3:uid="{3316C708-AB65-409A-AC7C-DBBB8AC1AB3F}" name="NOME_ PRODUTO"/>
    <tableColumn id="6" xr3:uid="{B7EDC41A-595F-4683-9444-D100BF18D9BD}" name="CUSTO_UNIT"/>
    <tableColumn id="5" xr3:uid="{D7D7B881-7B2F-4A44-94E2-24EC0DE47171}" name="VALOR_UNIT"/>
    <tableColumn id="10" xr3:uid="{520F9BC5-FB4E-4536-870A-74692801F12D}" name="QTD_VENDIDA"/>
    <tableColumn id="12" xr3:uid="{117EA7A7-30C2-4364-B8DD-A8852F1D13FE}" name="PAGAMENTO"/>
    <tableColumn id="9" xr3:uid="{4B1AADB9-3A13-4265-8D4C-F7F86673A165}" name="DATA_VENDA" dataDxfId="0"/>
    <tableColumn id="4" xr3:uid="{862132FB-2800-4E16-B521-DA673AA420CE}" name="Atendent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2A6CC-B7A2-4813-910A-5A9AE8B24485}">
  <sheetPr codeName="VENDAS"/>
  <dimension ref="A1:BO105"/>
  <sheetViews>
    <sheetView showGridLines="0" showRowColHeaders="0" tabSelected="1" zoomScale="85" zoomScaleNormal="85" workbookViewId="0">
      <pane xSplit="24" ySplit="33" topLeftCell="Y43" activePane="bottomRight" state="frozen"/>
      <selection pane="topRight" activeCell="Y1" sqref="Y1"/>
      <selection pane="bottomLeft" activeCell="A34" sqref="A34"/>
      <selection pane="bottomRight" activeCell="P14" sqref="P14"/>
    </sheetView>
  </sheetViews>
  <sheetFormatPr defaultRowHeight="15" x14ac:dyDescent="0.25"/>
  <cols>
    <col min="1" max="1" width="2" style="3" bestFit="1" customWidth="1"/>
    <col min="2" max="4" width="9.140625" style="2"/>
    <col min="5" max="5" width="2" style="2" bestFit="1" customWidth="1"/>
    <col min="6" max="8" width="9.140625" style="2"/>
    <col min="9" max="9" width="9.140625" style="2" customWidth="1"/>
    <col min="10" max="10" width="2" style="2" bestFit="1" customWidth="1"/>
    <col min="11" max="12" width="12" style="2" bestFit="1" customWidth="1"/>
    <col min="13" max="13" width="41.85546875" style="2" bestFit="1" customWidth="1"/>
    <col min="14" max="14" width="19.28515625" style="2" bestFit="1" customWidth="1"/>
    <col min="15" max="15" width="10.42578125" style="2" bestFit="1" customWidth="1"/>
    <col min="16" max="16" width="12.7109375" style="2" bestFit="1" customWidth="1"/>
    <col min="17" max="17" width="9.140625" style="2"/>
    <col min="18" max="18" width="2" style="2" bestFit="1" customWidth="1"/>
    <col min="19" max="19" width="9.140625" style="2"/>
    <col min="20" max="20" width="10.42578125" style="2" bestFit="1" customWidth="1"/>
    <col min="21" max="21" width="10.28515625" style="2" customWidth="1"/>
    <col min="22" max="22" width="2" style="2" bestFit="1" customWidth="1"/>
    <col min="23" max="23" width="2" style="3" bestFit="1" customWidth="1"/>
    <col min="24" max="16384" width="9.140625" style="2"/>
  </cols>
  <sheetData>
    <row r="1" spans="1:67" s="3" customFormat="1" x14ac:dyDescent="0.25">
      <c r="A1" s="3" t="s">
        <v>10</v>
      </c>
      <c r="B1" s="3" t="s">
        <v>10</v>
      </c>
      <c r="C1" s="3" t="s">
        <v>10</v>
      </c>
      <c r="D1" s="3" t="s">
        <v>10</v>
      </c>
      <c r="E1" s="3" t="s">
        <v>10</v>
      </c>
      <c r="F1" s="3" t="s">
        <v>10</v>
      </c>
      <c r="G1" s="3" t="s">
        <v>10</v>
      </c>
      <c r="H1" s="3" t="s">
        <v>10</v>
      </c>
      <c r="I1" s="3" t="s">
        <v>10</v>
      </c>
      <c r="J1" s="3" t="s">
        <v>10</v>
      </c>
      <c r="K1" s="3" t="s">
        <v>10</v>
      </c>
      <c r="L1" s="3" t="s">
        <v>10</v>
      </c>
      <c r="M1" s="3" t="s">
        <v>10</v>
      </c>
      <c r="N1" s="3" t="s">
        <v>10</v>
      </c>
      <c r="O1" s="3" t="s">
        <v>10</v>
      </c>
      <c r="P1" s="3" t="s">
        <v>10</v>
      </c>
      <c r="Q1" s="3" t="s">
        <v>10</v>
      </c>
      <c r="R1" s="3" t="s">
        <v>10</v>
      </c>
      <c r="S1" s="3" t="s">
        <v>10</v>
      </c>
      <c r="T1" s="3" t="s">
        <v>10</v>
      </c>
      <c r="U1" s="3" t="s">
        <v>10</v>
      </c>
      <c r="V1" s="3" t="s">
        <v>10</v>
      </c>
      <c r="W1" s="3" t="s">
        <v>10</v>
      </c>
      <c r="X1" s="3" t="s">
        <v>10</v>
      </c>
      <c r="Y1" s="3" t="s">
        <v>10</v>
      </c>
      <c r="Z1" s="3" t="s">
        <v>10</v>
      </c>
      <c r="AA1" s="3" t="s">
        <v>10</v>
      </c>
      <c r="AB1" s="3" t="s">
        <v>10</v>
      </c>
      <c r="AC1" s="3" t="s">
        <v>10</v>
      </c>
      <c r="AD1" s="3" t="s">
        <v>10</v>
      </c>
      <c r="AE1" s="3" t="s">
        <v>10</v>
      </c>
      <c r="AF1" s="3" t="s">
        <v>10</v>
      </c>
      <c r="AG1" s="3" t="s">
        <v>10</v>
      </c>
      <c r="AH1" s="3" t="s">
        <v>10</v>
      </c>
      <c r="AI1" s="3" t="s">
        <v>10</v>
      </c>
      <c r="AJ1" s="3" t="s">
        <v>10</v>
      </c>
      <c r="AK1" s="3" t="s">
        <v>10</v>
      </c>
      <c r="AL1" s="3" t="s">
        <v>10</v>
      </c>
      <c r="AM1" s="3" t="s">
        <v>10</v>
      </c>
      <c r="AN1" s="3" t="s">
        <v>10</v>
      </c>
      <c r="AO1" s="3" t="s">
        <v>10</v>
      </c>
      <c r="AP1" s="3" t="s">
        <v>10</v>
      </c>
      <c r="AQ1" s="3" t="s">
        <v>10</v>
      </c>
      <c r="AR1" s="3" t="s">
        <v>10</v>
      </c>
      <c r="AS1" s="3" t="s">
        <v>10</v>
      </c>
      <c r="AT1" s="3" t="s">
        <v>10</v>
      </c>
      <c r="AU1" s="3" t="s">
        <v>10</v>
      </c>
      <c r="AV1" s="3" t="s">
        <v>10</v>
      </c>
      <c r="AW1" s="3" t="s">
        <v>10</v>
      </c>
      <c r="AX1" s="3" t="s">
        <v>10</v>
      </c>
      <c r="AY1" s="3" t="s">
        <v>10</v>
      </c>
      <c r="AZ1" s="3" t="s">
        <v>10</v>
      </c>
      <c r="BA1" s="3" t="s">
        <v>10</v>
      </c>
      <c r="BB1" s="3" t="s">
        <v>10</v>
      </c>
      <c r="BC1" s="3" t="s">
        <v>10</v>
      </c>
      <c r="BD1" s="3" t="s">
        <v>10</v>
      </c>
      <c r="BE1" s="3" t="s">
        <v>10</v>
      </c>
      <c r="BF1" s="3" t="s">
        <v>10</v>
      </c>
      <c r="BG1" s="3" t="s">
        <v>10</v>
      </c>
      <c r="BH1" s="3" t="s">
        <v>10</v>
      </c>
      <c r="BI1" s="3" t="s">
        <v>10</v>
      </c>
      <c r="BJ1" s="3" t="s">
        <v>10</v>
      </c>
      <c r="BK1" s="3" t="s">
        <v>10</v>
      </c>
      <c r="BL1" s="3" t="s">
        <v>10</v>
      </c>
      <c r="BM1" s="3" t="s">
        <v>10</v>
      </c>
      <c r="BN1" s="3" t="s">
        <v>10</v>
      </c>
      <c r="BO1" s="3" t="s">
        <v>10</v>
      </c>
    </row>
    <row r="2" spans="1:67" ht="15" customHeight="1" x14ac:dyDescent="0.25">
      <c r="A2" s="3" t="s">
        <v>10</v>
      </c>
      <c r="B2" s="55" t="s">
        <v>24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4"/>
      <c r="W2" s="3" t="s">
        <v>10</v>
      </c>
      <c r="X2" s="54"/>
    </row>
    <row r="3" spans="1:67" ht="15" customHeight="1" x14ac:dyDescent="0.25">
      <c r="A3" s="3" t="s">
        <v>10</v>
      </c>
      <c r="B3" s="55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4"/>
      <c r="W3" s="3" t="s">
        <v>10</v>
      </c>
      <c r="X3" s="54"/>
    </row>
    <row r="4" spans="1:67" ht="15" customHeight="1" x14ac:dyDescent="0.25">
      <c r="A4" s="3" t="s">
        <v>10</v>
      </c>
      <c r="B4" s="55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4"/>
      <c r="W4" s="3" t="s">
        <v>10</v>
      </c>
      <c r="X4" s="54"/>
    </row>
    <row r="5" spans="1:67" x14ac:dyDescent="0.25">
      <c r="A5" s="3" t="s">
        <v>10</v>
      </c>
      <c r="W5" s="3" t="s">
        <v>10</v>
      </c>
    </row>
    <row r="6" spans="1:67" x14ac:dyDescent="0.25">
      <c r="A6" s="3" t="s">
        <v>10</v>
      </c>
      <c r="F6" s="45" t="s">
        <v>28</v>
      </c>
      <c r="G6" s="45"/>
      <c r="H6" s="45"/>
      <c r="I6" s="45"/>
      <c r="K6" s="45" t="s">
        <v>12</v>
      </c>
      <c r="L6" s="45"/>
      <c r="M6" s="45"/>
      <c r="N6" s="45"/>
      <c r="O6" s="45"/>
      <c r="P6" s="45"/>
      <c r="Q6" s="45"/>
      <c r="R6" s="45"/>
      <c r="S6" s="45"/>
      <c r="T6" s="45"/>
      <c r="U6" s="45"/>
      <c r="W6" s="3" t="s">
        <v>10</v>
      </c>
    </row>
    <row r="7" spans="1:67" ht="15" customHeight="1" x14ac:dyDescent="0.25">
      <c r="A7" s="3" t="s">
        <v>10</v>
      </c>
      <c r="F7" s="61"/>
      <c r="G7" s="61"/>
      <c r="H7" s="61"/>
      <c r="I7" s="61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W7" s="3" t="s">
        <v>10</v>
      </c>
    </row>
    <row r="8" spans="1:67" x14ac:dyDescent="0.25">
      <c r="A8" s="3" t="s">
        <v>10</v>
      </c>
      <c r="F8" s="61"/>
      <c r="G8" s="61"/>
      <c r="H8" s="61"/>
      <c r="I8" s="61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W8" s="3" t="s">
        <v>10</v>
      </c>
    </row>
    <row r="9" spans="1:67" x14ac:dyDescent="0.25">
      <c r="A9" s="3" t="s">
        <v>10</v>
      </c>
      <c r="F9" s="45" t="s">
        <v>27</v>
      </c>
      <c r="G9" s="45"/>
      <c r="H9" s="45"/>
      <c r="I9" s="45"/>
      <c r="W9" s="3" t="s">
        <v>10</v>
      </c>
    </row>
    <row r="10" spans="1:67" x14ac:dyDescent="0.25">
      <c r="A10" s="3" t="s">
        <v>10</v>
      </c>
      <c r="F10" s="48" t="str" cm="1">
        <f t="array" ref="F10">IFERROR(_xlfn._xlws.FILTER(PRODUTOS!A2:A16,PRODUTOS!B2:B16=VENDAS!F7),"-")</f>
        <v>-</v>
      </c>
      <c r="G10" s="48"/>
      <c r="H10" s="48"/>
      <c r="I10" s="48"/>
      <c r="K10" s="45" t="s">
        <v>13</v>
      </c>
      <c r="L10" s="45"/>
      <c r="M10" s="45"/>
      <c r="N10" s="45"/>
      <c r="O10" s="45"/>
      <c r="Q10" s="45" t="s">
        <v>14</v>
      </c>
      <c r="R10" s="45"/>
      <c r="S10" s="45"/>
      <c r="T10" s="45"/>
      <c r="U10" s="45"/>
      <c r="W10" s="3" t="s">
        <v>10</v>
      </c>
    </row>
    <row r="11" spans="1:67" ht="15" customHeight="1" x14ac:dyDescent="0.25">
      <c r="A11" s="3" t="s">
        <v>10</v>
      </c>
      <c r="K11" s="60"/>
      <c r="L11" s="60"/>
      <c r="M11" s="60"/>
      <c r="N11" s="60"/>
      <c r="O11" s="60"/>
      <c r="P11" s="27"/>
      <c r="Q11" s="59">
        <f>(K11-K7)+(T16*K7)</f>
        <v>0</v>
      </c>
      <c r="R11" s="59"/>
      <c r="S11" s="59"/>
      <c r="T11" s="59"/>
      <c r="U11" s="59"/>
      <c r="W11" s="3" t="s">
        <v>10</v>
      </c>
    </row>
    <row r="12" spans="1:67" ht="21" customHeight="1" x14ac:dyDescent="0.35">
      <c r="A12" s="36" t="s">
        <v>10</v>
      </c>
      <c r="F12" s="45" t="s">
        <v>30</v>
      </c>
      <c r="G12" s="45"/>
      <c r="H12" s="45"/>
      <c r="I12" s="45"/>
      <c r="K12" s="60"/>
      <c r="L12" s="60"/>
      <c r="M12" s="60"/>
      <c r="N12" s="60"/>
      <c r="O12" s="60"/>
      <c r="P12" s="27"/>
      <c r="Q12" s="59"/>
      <c r="R12" s="59"/>
      <c r="S12" s="59"/>
      <c r="T12" s="59"/>
      <c r="U12" s="59"/>
      <c r="W12" s="3" t="s">
        <v>10</v>
      </c>
    </row>
    <row r="13" spans="1:67" ht="21" x14ac:dyDescent="0.35">
      <c r="A13" s="36" t="s">
        <v>10</v>
      </c>
      <c r="F13" s="52" t="str" cm="1">
        <f t="array" ref="F13">IFERROR(_xlfn._xlws.FILTER(PRODUTOS!C2:C16,PRODUTOS!B2:B16=VENDAS!F7),"R$    - ")</f>
        <v xml:space="preserve">R$    - </v>
      </c>
      <c r="G13" s="52"/>
      <c r="H13" s="52"/>
      <c r="I13" s="52"/>
      <c r="W13" s="3" t="s">
        <v>10</v>
      </c>
    </row>
    <row r="14" spans="1:67" ht="21" x14ac:dyDescent="0.35">
      <c r="A14" s="36" t="s">
        <v>10</v>
      </c>
      <c r="W14" s="3" t="s">
        <v>10</v>
      </c>
    </row>
    <row r="15" spans="1:67" ht="21" x14ac:dyDescent="0.35">
      <c r="A15" s="36" t="s">
        <v>10</v>
      </c>
      <c r="B15" s="45" t="s">
        <v>22</v>
      </c>
      <c r="C15" s="45"/>
      <c r="D15" s="45"/>
      <c r="F15" s="45" t="s">
        <v>11</v>
      </c>
      <c r="G15" s="45"/>
      <c r="H15" s="45"/>
      <c r="I15" s="45"/>
      <c r="K15" s="57" t="s">
        <v>21</v>
      </c>
      <c r="L15" s="58"/>
      <c r="M15" s="58"/>
      <c r="N15" s="58"/>
      <c r="O15" s="58"/>
      <c r="P15" s="58"/>
      <c r="Q15" s="58"/>
      <c r="T15" s="45" t="s">
        <v>16</v>
      </c>
      <c r="U15" s="45"/>
      <c r="V15" s="3" t="s">
        <v>10</v>
      </c>
      <c r="W15" s="3" t="s">
        <v>10</v>
      </c>
    </row>
    <row r="16" spans="1:67" ht="21" x14ac:dyDescent="0.35">
      <c r="A16" s="36" t="s">
        <v>10</v>
      </c>
      <c r="B16" s="51"/>
      <c r="C16" s="51"/>
      <c r="D16" s="51"/>
      <c r="F16" s="49"/>
      <c r="G16" s="49"/>
      <c r="H16" s="49"/>
      <c r="I16" s="49"/>
      <c r="K16" s="10" t="s">
        <v>81</v>
      </c>
      <c r="L16" s="10" t="s">
        <v>80</v>
      </c>
      <c r="M16" s="10" t="s">
        <v>29</v>
      </c>
      <c r="N16" s="10" t="s">
        <v>20</v>
      </c>
      <c r="O16" s="10" t="s">
        <v>19</v>
      </c>
      <c r="P16" s="10" t="s">
        <v>79</v>
      </c>
      <c r="Q16" s="10" t="s">
        <v>18</v>
      </c>
      <c r="T16" s="46"/>
      <c r="U16" s="46"/>
      <c r="V16" s="3" t="s">
        <v>10</v>
      </c>
      <c r="W16" s="3" t="s">
        <v>10</v>
      </c>
    </row>
    <row r="17" spans="1:61" ht="21" x14ac:dyDescent="0.35">
      <c r="A17" s="36" t="s">
        <v>10</v>
      </c>
      <c r="K17" s="10"/>
      <c r="L17" s="10"/>
      <c r="M17" s="10"/>
      <c r="N17" s="10"/>
      <c r="O17" s="10"/>
      <c r="P17" s="10"/>
      <c r="Q17" s="10"/>
      <c r="T17" s="46"/>
      <c r="U17" s="46"/>
      <c r="V17" s="3" t="s">
        <v>10</v>
      </c>
      <c r="W17" s="3" t="s">
        <v>10</v>
      </c>
    </row>
    <row r="18" spans="1:61" ht="21" x14ac:dyDescent="0.35">
      <c r="A18" s="36" t="s">
        <v>10</v>
      </c>
      <c r="B18" s="45" t="s">
        <v>26</v>
      </c>
      <c r="C18" s="45"/>
      <c r="D18" s="45"/>
      <c r="F18" s="45" t="s">
        <v>17</v>
      </c>
      <c r="G18" s="45"/>
      <c r="H18" s="45"/>
      <c r="I18" s="45"/>
      <c r="K18" s="10"/>
      <c r="L18" s="10"/>
      <c r="M18" s="10"/>
      <c r="N18" s="10"/>
      <c r="O18" s="10"/>
      <c r="P18" s="10"/>
      <c r="Q18" s="10"/>
      <c r="T18" s="41"/>
      <c r="W18" s="3" t="s">
        <v>10</v>
      </c>
    </row>
    <row r="19" spans="1:61" ht="21" x14ac:dyDescent="0.35">
      <c r="A19" s="36" t="s">
        <v>10</v>
      </c>
      <c r="B19" s="53" t="e" cm="1" vm="1">
        <f t="array" aca="1" ref="B19" ca="1">_xlfn._xlws.FILTER(CLIENTES!F1:F1000,CLIENTES!C1:C1000=VENDAS!B16,"")</f>
        <v>#VALUE!</v>
      </c>
      <c r="C19" s="53"/>
      <c r="D19" s="53"/>
      <c r="F19" s="52" t="str">
        <f>IFERROR(F13*F16,"R$    - ")</f>
        <v xml:space="preserve">R$    - </v>
      </c>
      <c r="G19" s="52"/>
      <c r="H19" s="52"/>
      <c r="I19" s="52"/>
      <c r="K19" s="10"/>
      <c r="L19" s="10"/>
      <c r="M19" s="10"/>
      <c r="N19" s="10"/>
      <c r="O19" s="10"/>
      <c r="P19" s="10"/>
      <c r="Q19" s="10"/>
      <c r="W19" s="3" t="s">
        <v>10</v>
      </c>
    </row>
    <row r="20" spans="1:61" ht="21" x14ac:dyDescent="0.35">
      <c r="A20" s="36" t="s">
        <v>10</v>
      </c>
      <c r="K20" s="10"/>
      <c r="L20" s="10"/>
      <c r="M20" s="10"/>
      <c r="N20" s="10"/>
      <c r="O20" s="10"/>
      <c r="P20" s="10"/>
      <c r="Q20" s="10"/>
      <c r="S20" s="45" t="s">
        <v>133</v>
      </c>
      <c r="T20" s="45"/>
      <c r="U20" s="45"/>
      <c r="V20" s="45"/>
      <c r="W20" s="3" t="s">
        <v>10</v>
      </c>
    </row>
    <row r="21" spans="1:61" ht="21" x14ac:dyDescent="0.35">
      <c r="A21" s="36" t="s">
        <v>10</v>
      </c>
      <c r="B21" s="45" t="s">
        <v>25</v>
      </c>
      <c r="C21" s="45"/>
      <c r="D21" s="45"/>
      <c r="F21" s="45" t="s">
        <v>15</v>
      </c>
      <c r="G21" s="45"/>
      <c r="H21" s="45"/>
      <c r="I21" s="45"/>
      <c r="K21" s="10"/>
      <c r="L21" s="10"/>
      <c r="M21" s="10"/>
      <c r="N21" s="10"/>
      <c r="O21" s="10"/>
      <c r="P21" s="10"/>
      <c r="Q21" s="10"/>
      <c r="S21" s="47" t="s">
        <v>61</v>
      </c>
      <c r="T21" s="47"/>
      <c r="U21" s="47"/>
      <c r="V21" s="47"/>
      <c r="W21" s="3" t="s">
        <v>10</v>
      </c>
    </row>
    <row r="22" spans="1:61" ht="21" x14ac:dyDescent="0.35">
      <c r="A22" s="36" t="s">
        <v>10</v>
      </c>
      <c r="B22" s="50" t="e" cm="1" vm="1">
        <f t="array" aca="1" ref="B22" ca="1">_xlfn._xlws.FILTER(CLIENTES!B2:B1000,CLIENTES!C2:C1000=VENDAS!B16,"")</f>
        <v>#VALUE!</v>
      </c>
      <c r="C22" s="50"/>
      <c r="D22" s="50"/>
      <c r="F22" s="49"/>
      <c r="G22" s="49"/>
      <c r="H22" s="49"/>
      <c r="I22" s="49"/>
      <c r="K22" s="10"/>
      <c r="L22" s="10"/>
      <c r="M22" s="10"/>
      <c r="N22" s="10"/>
      <c r="O22" s="10"/>
      <c r="P22" s="10"/>
      <c r="Q22" s="10"/>
      <c r="W22" s="3" t="s">
        <v>10</v>
      </c>
    </row>
    <row r="23" spans="1:61" ht="21" x14ac:dyDescent="0.35">
      <c r="A23" s="36" t="s">
        <v>10</v>
      </c>
      <c r="B23" s="37"/>
      <c r="C23" s="37"/>
      <c r="D23" s="37"/>
      <c r="E23" s="36" t="s">
        <v>10</v>
      </c>
      <c r="F23" s="37"/>
      <c r="G23" s="37"/>
      <c r="H23" s="37"/>
      <c r="I23" s="37"/>
      <c r="K23" s="10"/>
      <c r="L23" s="10"/>
      <c r="M23" s="10"/>
      <c r="N23" s="10"/>
      <c r="O23" s="10"/>
      <c r="P23" s="10"/>
      <c r="Q23" s="10"/>
      <c r="W23" s="3" t="s">
        <v>10</v>
      </c>
    </row>
    <row r="24" spans="1:61" s="3" customFormat="1" ht="21" x14ac:dyDescent="0.35">
      <c r="A24" s="36" t="s">
        <v>10</v>
      </c>
      <c r="B24" s="37"/>
      <c r="C24" s="37"/>
      <c r="D24" s="37"/>
      <c r="E24" s="37"/>
      <c r="F24" s="37"/>
      <c r="G24" s="37"/>
      <c r="H24" s="37"/>
      <c r="I24" s="37"/>
      <c r="J24" s="3" t="s">
        <v>10</v>
      </c>
      <c r="K24" s="10"/>
      <c r="L24" s="10"/>
      <c r="M24" s="10"/>
      <c r="N24" s="10"/>
      <c r="O24" s="10"/>
      <c r="P24" s="10"/>
      <c r="Q24" s="10"/>
      <c r="R24" s="2"/>
      <c r="S24" s="2"/>
      <c r="T24" s="2"/>
      <c r="U24" s="2"/>
      <c r="V24" s="3" t="s">
        <v>10</v>
      </c>
      <c r="W24" s="3" t="s">
        <v>10</v>
      </c>
      <c r="X24" s="3" t="s">
        <v>10</v>
      </c>
      <c r="Y24" s="3" t="s">
        <v>10</v>
      </c>
      <c r="Z24" s="3" t="s">
        <v>10</v>
      </c>
      <c r="AA24" s="3" t="s">
        <v>10</v>
      </c>
      <c r="AB24" s="3" t="s">
        <v>10</v>
      </c>
      <c r="AC24" s="3" t="s">
        <v>10</v>
      </c>
      <c r="AD24" s="3" t="s">
        <v>10</v>
      </c>
      <c r="AE24" s="3" t="s">
        <v>10</v>
      </c>
      <c r="AF24" s="3" t="s">
        <v>10</v>
      </c>
      <c r="AG24" s="3" t="s">
        <v>10</v>
      </c>
      <c r="AH24" s="3" t="s">
        <v>10</v>
      </c>
      <c r="AI24" s="3" t="s">
        <v>10</v>
      </c>
      <c r="AJ24" s="3" t="s">
        <v>10</v>
      </c>
      <c r="AK24" s="3" t="s">
        <v>10</v>
      </c>
      <c r="AL24" s="3" t="s">
        <v>10</v>
      </c>
      <c r="AM24" s="3" t="s">
        <v>10</v>
      </c>
      <c r="AN24" s="3" t="s">
        <v>10</v>
      </c>
      <c r="AO24" s="3" t="s">
        <v>10</v>
      </c>
      <c r="AP24" s="3" t="s">
        <v>10</v>
      </c>
      <c r="AQ24" s="3" t="s">
        <v>10</v>
      </c>
      <c r="AR24" s="3" t="s">
        <v>10</v>
      </c>
      <c r="AS24" s="3" t="s">
        <v>10</v>
      </c>
      <c r="AT24" s="3" t="s">
        <v>10</v>
      </c>
      <c r="AU24" s="3" t="s">
        <v>10</v>
      </c>
      <c r="AV24" s="3" t="s">
        <v>10</v>
      </c>
      <c r="AW24" s="3" t="s">
        <v>10</v>
      </c>
      <c r="AX24" s="3" t="s">
        <v>10</v>
      </c>
      <c r="AY24" s="3" t="s">
        <v>10</v>
      </c>
      <c r="AZ24" s="3" t="s">
        <v>10</v>
      </c>
      <c r="BA24" s="3" t="s">
        <v>10</v>
      </c>
      <c r="BB24" s="3" t="s">
        <v>10</v>
      </c>
      <c r="BC24" s="3" t="s">
        <v>10</v>
      </c>
      <c r="BD24" s="3" t="s">
        <v>10</v>
      </c>
      <c r="BE24" s="3" t="s">
        <v>10</v>
      </c>
      <c r="BF24" s="3" t="s">
        <v>10</v>
      </c>
      <c r="BG24" s="3" t="s">
        <v>10</v>
      </c>
      <c r="BH24" s="3" t="s">
        <v>10</v>
      </c>
      <c r="BI24" s="3" t="s">
        <v>10</v>
      </c>
    </row>
    <row r="25" spans="1:61" ht="21" x14ac:dyDescent="0.35">
      <c r="A25" s="36"/>
      <c r="B25" s="37"/>
      <c r="C25" s="37"/>
      <c r="D25" s="37"/>
      <c r="E25" s="37"/>
      <c r="F25" s="37"/>
      <c r="G25" s="37"/>
      <c r="H25" s="37"/>
      <c r="I25" s="37"/>
      <c r="K25" s="10"/>
      <c r="L25" s="10"/>
      <c r="M25" s="10"/>
      <c r="N25" s="10"/>
      <c r="O25" s="10"/>
      <c r="P25" s="10"/>
      <c r="Q25" s="10"/>
    </row>
    <row r="26" spans="1:61" ht="21" x14ac:dyDescent="0.35">
      <c r="A26" s="36" t="s">
        <v>10</v>
      </c>
      <c r="B26" s="37"/>
      <c r="C26" s="37"/>
      <c r="D26" s="37"/>
      <c r="E26" s="37"/>
      <c r="F26" s="37"/>
      <c r="G26" s="37"/>
      <c r="H26" s="37"/>
      <c r="I26" s="37"/>
      <c r="K26" s="10"/>
      <c r="L26" s="10"/>
      <c r="M26" s="10"/>
      <c r="N26" s="10"/>
      <c r="O26" s="10"/>
      <c r="P26" s="10"/>
      <c r="Q26" s="10"/>
    </row>
    <row r="27" spans="1:61" ht="21" x14ac:dyDescent="0.35">
      <c r="A27" s="36" t="s">
        <v>10</v>
      </c>
      <c r="B27" s="37"/>
      <c r="C27" s="37"/>
      <c r="D27" s="37"/>
      <c r="E27" s="37"/>
      <c r="F27" s="37"/>
      <c r="G27" s="37"/>
      <c r="H27" s="37"/>
      <c r="I27" s="37"/>
      <c r="K27" s="10"/>
      <c r="L27" s="10"/>
      <c r="M27" s="10"/>
      <c r="N27" s="10"/>
      <c r="O27" s="10"/>
      <c r="P27" s="10"/>
      <c r="Q27" s="10"/>
    </row>
    <row r="28" spans="1:61" ht="21" x14ac:dyDescent="0.35">
      <c r="A28" s="36" t="s">
        <v>10</v>
      </c>
      <c r="B28" s="37"/>
      <c r="C28" s="37"/>
      <c r="D28" s="37"/>
      <c r="E28" s="37"/>
      <c r="F28" s="37"/>
      <c r="G28" s="37"/>
      <c r="H28" s="37"/>
      <c r="I28" s="37"/>
      <c r="K28" s="10"/>
      <c r="L28" s="10"/>
      <c r="M28" s="10"/>
      <c r="N28" s="10"/>
      <c r="O28" s="10"/>
      <c r="P28" s="10"/>
      <c r="Q28" s="10"/>
    </row>
    <row r="29" spans="1:61" ht="21" x14ac:dyDescent="0.35">
      <c r="A29" s="36" t="s">
        <v>10</v>
      </c>
      <c r="B29" s="37"/>
      <c r="C29" s="37"/>
      <c r="D29" s="37"/>
      <c r="E29" s="37"/>
      <c r="F29" s="37"/>
      <c r="G29" s="37"/>
      <c r="H29" s="37"/>
      <c r="I29" s="37"/>
      <c r="K29" s="10"/>
      <c r="L29" s="10"/>
      <c r="M29" s="10"/>
      <c r="N29" s="10"/>
      <c r="O29" s="10"/>
      <c r="P29" s="10"/>
      <c r="Q29" s="10"/>
    </row>
    <row r="30" spans="1:61" x14ac:dyDescent="0.25">
      <c r="A30" s="3" t="s">
        <v>10</v>
      </c>
      <c r="K30" s="10"/>
      <c r="L30" s="10"/>
      <c r="M30" s="10"/>
      <c r="N30" s="10"/>
      <c r="O30" s="10"/>
      <c r="P30" s="10"/>
      <c r="Q30" s="10"/>
    </row>
    <row r="31" spans="1:61" x14ac:dyDescent="0.25">
      <c r="A31" s="3" t="s">
        <v>10</v>
      </c>
      <c r="K31" s="10"/>
      <c r="L31" s="10"/>
      <c r="M31" s="10"/>
      <c r="N31" s="10"/>
      <c r="O31" s="10"/>
      <c r="P31" s="10"/>
      <c r="Q31" s="10"/>
    </row>
    <row r="32" spans="1:61" x14ac:dyDescent="0.25">
      <c r="A32" s="3" t="s">
        <v>10</v>
      </c>
      <c r="K32" s="10"/>
      <c r="L32" s="10"/>
      <c r="M32" s="23"/>
      <c r="N32" s="10"/>
      <c r="O32" s="10"/>
      <c r="P32" s="10"/>
      <c r="Q32" s="10"/>
    </row>
    <row r="38" spans="1:1" x14ac:dyDescent="0.25">
      <c r="A38" s="3" t="s">
        <v>10</v>
      </c>
    </row>
    <row r="39" spans="1:1" x14ac:dyDescent="0.25">
      <c r="A39" s="3" t="s">
        <v>10</v>
      </c>
    </row>
    <row r="40" spans="1:1" x14ac:dyDescent="0.25">
      <c r="A40" s="3" t="s">
        <v>10</v>
      </c>
    </row>
    <row r="41" spans="1:1" x14ac:dyDescent="0.25">
      <c r="A41" s="3" t="s">
        <v>10</v>
      </c>
    </row>
    <row r="42" spans="1:1" x14ac:dyDescent="0.25">
      <c r="A42" s="3" t="s">
        <v>10</v>
      </c>
    </row>
    <row r="43" spans="1:1" x14ac:dyDescent="0.25">
      <c r="A43" s="3" t="s">
        <v>10</v>
      </c>
    </row>
    <row r="44" spans="1:1" x14ac:dyDescent="0.25">
      <c r="A44" s="3" t="s">
        <v>10</v>
      </c>
    </row>
    <row r="45" spans="1:1" x14ac:dyDescent="0.25">
      <c r="A45" s="3" t="s">
        <v>10</v>
      </c>
    </row>
    <row r="46" spans="1:1" x14ac:dyDescent="0.25">
      <c r="A46" s="3" t="s">
        <v>10</v>
      </c>
    </row>
    <row r="47" spans="1:1" x14ac:dyDescent="0.25">
      <c r="A47" s="3" t="s">
        <v>10</v>
      </c>
    </row>
    <row r="48" spans="1:1" x14ac:dyDescent="0.25">
      <c r="A48" s="3" t="s">
        <v>10</v>
      </c>
    </row>
    <row r="49" spans="1:1" x14ac:dyDescent="0.25">
      <c r="A49" s="3" t="s">
        <v>10</v>
      </c>
    </row>
    <row r="50" spans="1:1" x14ac:dyDescent="0.25">
      <c r="A50" s="3" t="s">
        <v>10</v>
      </c>
    </row>
    <row r="51" spans="1:1" x14ac:dyDescent="0.25">
      <c r="A51" s="3" t="s">
        <v>10</v>
      </c>
    </row>
    <row r="52" spans="1:1" x14ac:dyDescent="0.25">
      <c r="A52" s="3" t="s">
        <v>10</v>
      </c>
    </row>
    <row r="53" spans="1:1" x14ac:dyDescent="0.25">
      <c r="A53" s="3" t="s">
        <v>10</v>
      </c>
    </row>
    <row r="54" spans="1:1" x14ac:dyDescent="0.25">
      <c r="A54" s="3" t="s">
        <v>10</v>
      </c>
    </row>
    <row r="55" spans="1:1" x14ac:dyDescent="0.25">
      <c r="A55" s="3" t="s">
        <v>10</v>
      </c>
    </row>
    <row r="56" spans="1:1" x14ac:dyDescent="0.25">
      <c r="A56" s="3" t="s">
        <v>10</v>
      </c>
    </row>
    <row r="57" spans="1:1" x14ac:dyDescent="0.25">
      <c r="A57" s="3" t="s">
        <v>10</v>
      </c>
    </row>
    <row r="58" spans="1:1" x14ac:dyDescent="0.25">
      <c r="A58" s="3" t="s">
        <v>10</v>
      </c>
    </row>
    <row r="59" spans="1:1" x14ac:dyDescent="0.25">
      <c r="A59" s="3" t="s">
        <v>10</v>
      </c>
    </row>
    <row r="60" spans="1:1" x14ac:dyDescent="0.25">
      <c r="A60" s="3" t="s">
        <v>10</v>
      </c>
    </row>
    <row r="61" spans="1:1" x14ac:dyDescent="0.25">
      <c r="A61" s="3" t="s">
        <v>10</v>
      </c>
    </row>
    <row r="62" spans="1:1" x14ac:dyDescent="0.25">
      <c r="A62" s="3" t="s">
        <v>10</v>
      </c>
    </row>
    <row r="63" spans="1:1" x14ac:dyDescent="0.25">
      <c r="A63" s="3" t="s">
        <v>10</v>
      </c>
    </row>
    <row r="64" spans="1:1" x14ac:dyDescent="0.25">
      <c r="A64" s="3" t="s">
        <v>10</v>
      </c>
    </row>
    <row r="65" spans="1:1" x14ac:dyDescent="0.25">
      <c r="A65" s="3" t="s">
        <v>10</v>
      </c>
    </row>
    <row r="66" spans="1:1" x14ac:dyDescent="0.25">
      <c r="A66" s="3" t="s">
        <v>10</v>
      </c>
    </row>
    <row r="67" spans="1:1" x14ac:dyDescent="0.25">
      <c r="A67" s="3" t="s">
        <v>10</v>
      </c>
    </row>
    <row r="68" spans="1:1" x14ac:dyDescent="0.25">
      <c r="A68" s="3" t="s">
        <v>10</v>
      </c>
    </row>
    <row r="69" spans="1:1" x14ac:dyDescent="0.25">
      <c r="A69" s="3" t="s">
        <v>10</v>
      </c>
    </row>
    <row r="70" spans="1:1" x14ac:dyDescent="0.25">
      <c r="A70" s="3" t="s">
        <v>10</v>
      </c>
    </row>
    <row r="71" spans="1:1" x14ac:dyDescent="0.25">
      <c r="A71" s="3" t="s">
        <v>10</v>
      </c>
    </row>
    <row r="72" spans="1:1" x14ac:dyDescent="0.25">
      <c r="A72" s="3" t="s">
        <v>10</v>
      </c>
    </row>
    <row r="73" spans="1:1" x14ac:dyDescent="0.25">
      <c r="A73" s="3" t="s">
        <v>10</v>
      </c>
    </row>
    <row r="74" spans="1:1" x14ac:dyDescent="0.25">
      <c r="A74" s="3" t="s">
        <v>10</v>
      </c>
    </row>
    <row r="75" spans="1:1" x14ac:dyDescent="0.25">
      <c r="A75" s="3" t="s">
        <v>10</v>
      </c>
    </row>
    <row r="76" spans="1:1" x14ac:dyDescent="0.25">
      <c r="A76" s="3" t="s">
        <v>10</v>
      </c>
    </row>
    <row r="77" spans="1:1" x14ac:dyDescent="0.25">
      <c r="A77" s="3" t="s">
        <v>10</v>
      </c>
    </row>
    <row r="78" spans="1:1" x14ac:dyDescent="0.25">
      <c r="A78" s="3" t="s">
        <v>10</v>
      </c>
    </row>
    <row r="79" spans="1:1" x14ac:dyDescent="0.25">
      <c r="A79" s="3" t="s">
        <v>10</v>
      </c>
    </row>
    <row r="80" spans="1:1" x14ac:dyDescent="0.25">
      <c r="A80" s="3" t="s">
        <v>10</v>
      </c>
    </row>
    <row r="81" spans="1:1" x14ac:dyDescent="0.25">
      <c r="A81" s="3" t="s">
        <v>10</v>
      </c>
    </row>
    <row r="82" spans="1:1" x14ac:dyDescent="0.25">
      <c r="A82" s="3" t="s">
        <v>10</v>
      </c>
    </row>
    <row r="83" spans="1:1" x14ac:dyDescent="0.25">
      <c r="A83" s="3" t="s">
        <v>10</v>
      </c>
    </row>
    <row r="84" spans="1:1" x14ac:dyDescent="0.25">
      <c r="A84" s="3" t="s">
        <v>10</v>
      </c>
    </row>
    <row r="85" spans="1:1" x14ac:dyDescent="0.25">
      <c r="A85" s="3" t="s">
        <v>10</v>
      </c>
    </row>
    <row r="86" spans="1:1" x14ac:dyDescent="0.25">
      <c r="A86" s="3" t="s">
        <v>10</v>
      </c>
    </row>
    <row r="87" spans="1:1" x14ac:dyDescent="0.25">
      <c r="A87" s="3" t="s">
        <v>10</v>
      </c>
    </row>
    <row r="88" spans="1:1" x14ac:dyDescent="0.25">
      <c r="A88" s="3" t="s">
        <v>10</v>
      </c>
    </row>
    <row r="89" spans="1:1" x14ac:dyDescent="0.25">
      <c r="A89" s="3" t="s">
        <v>10</v>
      </c>
    </row>
    <row r="90" spans="1:1" x14ac:dyDescent="0.25">
      <c r="A90" s="3" t="s">
        <v>10</v>
      </c>
    </row>
    <row r="91" spans="1:1" x14ac:dyDescent="0.25">
      <c r="A91" s="3" t="s">
        <v>10</v>
      </c>
    </row>
    <row r="92" spans="1:1" x14ac:dyDescent="0.25">
      <c r="A92" s="3" t="s">
        <v>10</v>
      </c>
    </row>
    <row r="93" spans="1:1" x14ac:dyDescent="0.25">
      <c r="A93" s="3" t="s">
        <v>10</v>
      </c>
    </row>
    <row r="94" spans="1:1" x14ac:dyDescent="0.25">
      <c r="A94" s="3" t="s">
        <v>10</v>
      </c>
    </row>
    <row r="95" spans="1:1" x14ac:dyDescent="0.25">
      <c r="A95" s="3" t="s">
        <v>10</v>
      </c>
    </row>
    <row r="96" spans="1:1" x14ac:dyDescent="0.25">
      <c r="A96" s="3" t="s">
        <v>10</v>
      </c>
    </row>
    <row r="97" spans="1:1" x14ac:dyDescent="0.25">
      <c r="A97" s="3" t="s">
        <v>10</v>
      </c>
    </row>
    <row r="98" spans="1:1" x14ac:dyDescent="0.25">
      <c r="A98" s="3" t="s">
        <v>10</v>
      </c>
    </row>
    <row r="99" spans="1:1" x14ac:dyDescent="0.25">
      <c r="A99" s="3" t="s">
        <v>10</v>
      </c>
    </row>
    <row r="100" spans="1:1" x14ac:dyDescent="0.25">
      <c r="A100" s="3" t="s">
        <v>10</v>
      </c>
    </row>
    <row r="101" spans="1:1" x14ac:dyDescent="0.25">
      <c r="A101" s="3" t="s">
        <v>10</v>
      </c>
    </row>
    <row r="102" spans="1:1" x14ac:dyDescent="0.25">
      <c r="A102" s="3" t="s">
        <v>10</v>
      </c>
    </row>
    <row r="103" spans="1:1" x14ac:dyDescent="0.25">
      <c r="A103" s="3" t="s">
        <v>10</v>
      </c>
    </row>
    <row r="104" spans="1:1" x14ac:dyDescent="0.25">
      <c r="A104" s="3" t="s">
        <v>10</v>
      </c>
    </row>
    <row r="105" spans="1:1" x14ac:dyDescent="0.25">
      <c r="A105" s="3" t="s">
        <v>10</v>
      </c>
    </row>
  </sheetData>
  <sheetProtection sheet="1" objects="1" scenarios="1"/>
  <mergeCells count="31">
    <mergeCell ref="X2:X4"/>
    <mergeCell ref="F21:I21"/>
    <mergeCell ref="F6:I6"/>
    <mergeCell ref="F12:I12"/>
    <mergeCell ref="F13:I13"/>
    <mergeCell ref="F15:I15"/>
    <mergeCell ref="F16:I16"/>
    <mergeCell ref="B2:U4"/>
    <mergeCell ref="K15:Q15"/>
    <mergeCell ref="K10:O10"/>
    <mergeCell ref="Q10:U10"/>
    <mergeCell ref="Q11:U12"/>
    <mergeCell ref="K11:O12"/>
    <mergeCell ref="F7:I8"/>
    <mergeCell ref="T15:U15"/>
    <mergeCell ref="K6:U6"/>
    <mergeCell ref="F22:I22"/>
    <mergeCell ref="B22:D22"/>
    <mergeCell ref="B15:D15"/>
    <mergeCell ref="B16:D16"/>
    <mergeCell ref="F19:I19"/>
    <mergeCell ref="F18:I18"/>
    <mergeCell ref="B18:D18"/>
    <mergeCell ref="B19:D19"/>
    <mergeCell ref="K7:U8"/>
    <mergeCell ref="B21:D21"/>
    <mergeCell ref="T16:U17"/>
    <mergeCell ref="S20:V20"/>
    <mergeCell ref="S21:V21"/>
    <mergeCell ref="F9:I9"/>
    <mergeCell ref="F10:I10"/>
  </mergeCells>
  <conditionalFormatting sqref="Q11:U12">
    <cfRule type="cellIs" dxfId="11" priority="1" operator="lessThan">
      <formula>0</formula>
    </cfRule>
  </conditionalFormatting>
  <dataValidations count="2">
    <dataValidation type="list" allowBlank="1" showInputMessage="1" showErrorMessage="1" sqref="F22:I22" xr:uid="{E195680E-E435-4C52-96BB-AFFCF34CE030}">
      <formula1>"DINHEIRO,CARTÃO DE DÉBITO,CARTÃO DE CRÉDITO,PIX"</formula1>
    </dataValidation>
    <dataValidation type="whole" allowBlank="1" showInputMessage="1" showErrorMessage="1" sqref="F16:I16 S21:V21" xr:uid="{7AA89484-26E2-4424-808B-5CF5138741A7}">
      <formula1>1</formula1>
      <formula2>50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28094F1-F0B3-4502-B2A4-7DF5F4FF2A51}">
          <x14:formula1>
            <xm:f>_xlfn.ANCHORARRAY(CLIENTES!$A$2)</xm:f>
          </x14:formula1>
          <xm:sqref>B16:D16</xm:sqref>
        </x14:dataValidation>
        <x14:dataValidation type="list" allowBlank="1" showInputMessage="1" showErrorMessage="1" xr:uid="{E1B18A6F-B86A-42E1-99C2-C51F6087A337}">
          <x14:formula1>
            <xm:f>PRODUTOS!$B$2:$B$16</xm:f>
          </x14:formula1>
          <xm:sqref>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F030-582F-4D43-8E51-8F04A40AC875}">
  <sheetPr codeName="Planilha3"/>
  <dimension ref="A1:B16"/>
  <sheetViews>
    <sheetView workbookViewId="0">
      <selection activeCell="B16" sqref="B16"/>
    </sheetView>
  </sheetViews>
  <sheetFormatPr defaultRowHeight="15" x14ac:dyDescent="0.25"/>
  <cols>
    <col min="1" max="1" width="30.5703125" bestFit="1" customWidth="1"/>
    <col min="2" max="2" width="11.42578125" bestFit="1" customWidth="1"/>
    <col min="3" max="3" width="14.28515625" bestFit="1" customWidth="1"/>
  </cols>
  <sheetData>
    <row r="1" spans="1:2" x14ac:dyDescent="0.25">
      <c r="A1" t="s">
        <v>113</v>
      </c>
      <c r="B1" t="s">
        <v>112</v>
      </c>
    </row>
    <row r="2" spans="1:2" x14ac:dyDescent="0.25">
      <c r="A2">
        <v>14</v>
      </c>
      <c r="B2">
        <f>VLOOKUP('TABELA AUX'!A2,Tabela2[],5,FALSE)</f>
        <v>2</v>
      </c>
    </row>
    <row r="3" spans="1:2" x14ac:dyDescent="0.25">
      <c r="A3">
        <v>15</v>
      </c>
      <c r="B3">
        <f>VLOOKUP('TABELA AUX'!A3,Tabela2[],5,FALSE)</f>
        <v>14</v>
      </c>
    </row>
    <row r="4" spans="1:2" x14ac:dyDescent="0.25">
      <c r="A4">
        <v>8</v>
      </c>
      <c r="B4">
        <f>VLOOKUP('TABELA AUX'!A4,Tabela2[],5,FALSE)</f>
        <v>62</v>
      </c>
    </row>
    <row r="5" spans="1:2" x14ac:dyDescent="0.25">
      <c r="A5">
        <v>15</v>
      </c>
      <c r="B5">
        <f>VLOOKUP('TABELA AUX'!A5,Tabela2[],5,FALSE)</f>
        <v>14</v>
      </c>
    </row>
    <row r="6" spans="1:2" x14ac:dyDescent="0.25">
      <c r="A6">
        <v>8</v>
      </c>
      <c r="B6">
        <f>VLOOKUP('TABELA AUX'!A6,Tabela2[],5,FALSE)</f>
        <v>62</v>
      </c>
    </row>
    <row r="7" spans="1:2" x14ac:dyDescent="0.25">
      <c r="A7">
        <v>7</v>
      </c>
      <c r="B7">
        <f>VLOOKUP('TABELA AUX'!A7,Tabela2[],5,FALSE)</f>
        <v>3254</v>
      </c>
    </row>
    <row r="8" spans="1:2" x14ac:dyDescent="0.25">
      <c r="A8">
        <v>8</v>
      </c>
      <c r="B8">
        <f>VLOOKUP('TABELA AUX'!A8,Tabela2[],5,FALSE)</f>
        <v>62</v>
      </c>
    </row>
    <row r="9" spans="1:2" x14ac:dyDescent="0.25">
      <c r="A9">
        <v>7</v>
      </c>
      <c r="B9">
        <f>VLOOKUP('TABELA AUX'!A9,Tabela2[],5,FALSE)</f>
        <v>3254</v>
      </c>
    </row>
    <row r="10" spans="1:2" x14ac:dyDescent="0.25">
      <c r="A10">
        <v>6</v>
      </c>
      <c r="B10">
        <f>VLOOKUP('TABELA AUX'!A10,Tabela2[],5,FALSE)</f>
        <v>987</v>
      </c>
    </row>
    <row r="11" spans="1:2" x14ac:dyDescent="0.25">
      <c r="A11">
        <v>7</v>
      </c>
      <c r="B11">
        <f>VLOOKUP('TABELA AUX'!A11,Tabela2[],5,FALSE)</f>
        <v>3254</v>
      </c>
    </row>
    <row r="12" spans="1:2" x14ac:dyDescent="0.25">
      <c r="A12">
        <v>5</v>
      </c>
      <c r="B12">
        <f>VLOOKUP('TABELA AUX'!A12,Tabela2[],5,FALSE)</f>
        <v>6</v>
      </c>
    </row>
    <row r="13" spans="1:2" x14ac:dyDescent="0.25">
      <c r="A13">
        <v>7</v>
      </c>
      <c r="B13">
        <f>VLOOKUP('TABELA AUX'!A13,Tabela2[],5,FALSE)</f>
        <v>3254</v>
      </c>
    </row>
    <row r="14" spans="1:2" x14ac:dyDescent="0.25">
      <c r="A14">
        <v>7</v>
      </c>
      <c r="B14">
        <f>VLOOKUP('TABELA AUX'!A14,Tabela2[],5,FALSE)</f>
        <v>3254</v>
      </c>
    </row>
    <row r="15" spans="1:2" x14ac:dyDescent="0.25">
      <c r="A15">
        <v>5</v>
      </c>
      <c r="B15">
        <f>VLOOKUP('TABELA AUX'!A15,Tabela2[],5,FALSE)</f>
        <v>6</v>
      </c>
    </row>
    <row r="16" spans="1:2" x14ac:dyDescent="0.25">
      <c r="A16">
        <v>4</v>
      </c>
      <c r="B16">
        <f>VLOOKUP('TABELA AUX'!A16,Tabela2[],5,FALSE)</f>
        <v>254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DE5BE-0DD6-4CD6-B201-F437DBE2D538}">
  <sheetPr codeName="CARRINHO"/>
  <dimension ref="A1:H45"/>
  <sheetViews>
    <sheetView workbookViewId="0">
      <selection activeCell="A2" sqref="A2:G2"/>
    </sheetView>
  </sheetViews>
  <sheetFormatPr defaultColWidth="10.42578125" defaultRowHeight="15" x14ac:dyDescent="0.25"/>
  <cols>
    <col min="1" max="1" width="11.28515625" bestFit="1" customWidth="1"/>
    <col min="2" max="2" width="12" bestFit="1" customWidth="1"/>
    <col min="3" max="3" width="16.28515625" bestFit="1" customWidth="1"/>
    <col min="4" max="4" width="19.28515625" bestFit="1" customWidth="1"/>
    <col min="5" max="5" width="10.42578125" bestFit="1" customWidth="1"/>
    <col min="7" max="7" width="5.42578125" bestFit="1" customWidth="1"/>
    <col min="8" max="8" width="10.7109375" bestFit="1" customWidth="1"/>
  </cols>
  <sheetData>
    <row r="1" spans="1:8" x14ac:dyDescent="0.25">
      <c r="A1" t="str">
        <f>VENDAS!K16</f>
        <v>ID Cliente</v>
      </c>
      <c r="B1" t="str">
        <f>VENDAS!L16</f>
        <v>ID Produto</v>
      </c>
      <c r="C1" t="str">
        <f>VENDAS!M16</f>
        <v>Nome Produto</v>
      </c>
      <c r="D1" t="str">
        <f>VENDAS!N16</f>
        <v>Pagamento</v>
      </c>
      <c r="E1" t="str">
        <f>VENDAS!O16</f>
        <v>Valor Unit.</v>
      </c>
      <c r="F1" t="str">
        <f>VENDAS!P16</f>
        <v>Qtd. Vendida</v>
      </c>
      <c r="G1" t="str">
        <f>VENDAS!Q16</f>
        <v>Total</v>
      </c>
    </row>
    <row r="2" spans="1:8" s="7" customFormat="1" x14ac:dyDescent="0.25">
      <c r="A2" s="7" t="e" vm="2">
        <f ca="1">VENDAS!B22</f>
        <v>#VALUE!</v>
      </c>
      <c r="B2" s="7" t="str">
        <f>VENDAS!F10</f>
        <v>-</v>
      </c>
      <c r="C2">
        <f>VENDAS!F7</f>
        <v>0</v>
      </c>
      <c r="D2" s="7">
        <f>VENDAS!F22</f>
        <v>0</v>
      </c>
      <c r="E2" s="7" t="str">
        <f>VENDAS!F13</f>
        <v xml:space="preserve">R$    - </v>
      </c>
      <c r="F2" s="7">
        <f>VENDAS!F16</f>
        <v>0</v>
      </c>
      <c r="G2" s="7" t="str">
        <f>VENDAS!F19</f>
        <v xml:space="preserve">R$    - </v>
      </c>
      <c r="H2" s="9"/>
    </row>
    <row r="34" spans="3:3" x14ac:dyDescent="0.25">
      <c r="C34" s="5"/>
    </row>
    <row r="35" spans="3:3" x14ac:dyDescent="0.25">
      <c r="C35" s="5"/>
    </row>
    <row r="36" spans="3:3" x14ac:dyDescent="0.25">
      <c r="C36" s="5"/>
    </row>
    <row r="37" spans="3:3" x14ac:dyDescent="0.25">
      <c r="C37" s="5"/>
    </row>
    <row r="38" spans="3:3" x14ac:dyDescent="0.25">
      <c r="C38" s="5"/>
    </row>
    <row r="39" spans="3:3" x14ac:dyDescent="0.25">
      <c r="C39" s="5"/>
    </row>
    <row r="40" spans="3:3" x14ac:dyDescent="0.25">
      <c r="C40" s="5"/>
    </row>
    <row r="41" spans="3:3" x14ac:dyDescent="0.25">
      <c r="C41" s="5"/>
    </row>
    <row r="42" spans="3:3" x14ac:dyDescent="0.25">
      <c r="C42" s="5"/>
    </row>
    <row r="43" spans="3:3" x14ac:dyDescent="0.25">
      <c r="C43" s="5"/>
    </row>
    <row r="44" spans="3:3" x14ac:dyDescent="0.25">
      <c r="C44" s="5"/>
    </row>
    <row r="45" spans="3:3" x14ac:dyDescent="0.25">
      <c r="C45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64D9A-30D2-4790-8476-2020BF33A81A}">
  <sheetPr codeName="PRODUTOS"/>
  <dimension ref="A1:F23"/>
  <sheetViews>
    <sheetView workbookViewId="0">
      <selection activeCell="C3" sqref="C3"/>
    </sheetView>
  </sheetViews>
  <sheetFormatPr defaultRowHeight="15" x14ac:dyDescent="0.25"/>
  <cols>
    <col min="1" max="1" width="14.140625" style="7" customWidth="1"/>
    <col min="2" max="2" width="35.140625" style="22" bestFit="1" customWidth="1"/>
    <col min="3" max="3" width="18" style="8" bestFit="1" customWidth="1"/>
    <col min="4" max="4" width="22.140625" style="13" bestFit="1" customWidth="1"/>
    <col min="5" max="5" width="16.42578125" style="7" bestFit="1" customWidth="1"/>
    <col min="6" max="6" width="13.7109375" style="7" bestFit="1" customWidth="1"/>
    <col min="7" max="16384" width="9.140625" style="7"/>
  </cols>
  <sheetData>
    <row r="1" spans="1:6" x14ac:dyDescent="0.25">
      <c r="A1" s="7" t="s">
        <v>27</v>
      </c>
      <c r="B1" s="22" t="s">
        <v>0</v>
      </c>
      <c r="C1" s="8" t="s">
        <v>57</v>
      </c>
      <c r="D1" s="12" t="s">
        <v>58</v>
      </c>
      <c r="E1" s="7" t="s">
        <v>76</v>
      </c>
      <c r="F1" s="7" t="s">
        <v>78</v>
      </c>
    </row>
    <row r="2" spans="1:6" x14ac:dyDescent="0.25">
      <c r="A2" s="7">
        <f>ROW()-1</f>
        <v>1</v>
      </c>
      <c r="B2" s="22" t="s">
        <v>94</v>
      </c>
      <c r="C2" s="8">
        <v>9.9700000000000006</v>
      </c>
      <c r="D2" s="12">
        <v>50</v>
      </c>
      <c r="E2" s="7">
        <v>10</v>
      </c>
    </row>
    <row r="3" spans="1:6" x14ac:dyDescent="0.25">
      <c r="A3" s="7">
        <f t="shared" ref="A3:A12" si="0">ROW()-1</f>
        <v>2</v>
      </c>
      <c r="B3" s="22" t="s">
        <v>1</v>
      </c>
      <c r="C3" s="8">
        <v>20</v>
      </c>
      <c r="D3" s="12">
        <v>50</v>
      </c>
      <c r="E3" s="7">
        <v>56</v>
      </c>
    </row>
    <row r="4" spans="1:6" x14ac:dyDescent="0.25">
      <c r="A4" s="7">
        <f t="shared" si="0"/>
        <v>3</v>
      </c>
      <c r="B4" s="22" t="s">
        <v>2</v>
      </c>
      <c r="C4" s="8">
        <v>30</v>
      </c>
      <c r="D4" s="12">
        <v>50</v>
      </c>
      <c r="E4" s="7">
        <v>32</v>
      </c>
    </row>
    <row r="5" spans="1:6" x14ac:dyDescent="0.25">
      <c r="A5" s="7">
        <f t="shared" si="0"/>
        <v>4</v>
      </c>
      <c r="B5" s="22" t="s">
        <v>3</v>
      </c>
      <c r="C5" s="8">
        <v>70</v>
      </c>
      <c r="D5" s="12">
        <v>50</v>
      </c>
      <c r="E5" s="7">
        <v>254</v>
      </c>
    </row>
    <row r="6" spans="1:6" x14ac:dyDescent="0.25">
      <c r="A6" s="7">
        <f t="shared" si="0"/>
        <v>5</v>
      </c>
      <c r="B6" s="22" t="s">
        <v>4</v>
      </c>
      <c r="C6" s="8">
        <v>10</v>
      </c>
      <c r="D6" s="12">
        <v>50</v>
      </c>
      <c r="E6" s="7">
        <v>6</v>
      </c>
    </row>
    <row r="7" spans="1:6" x14ac:dyDescent="0.25">
      <c r="A7" s="7">
        <f t="shared" si="0"/>
        <v>6</v>
      </c>
      <c r="B7" s="22" t="s">
        <v>5</v>
      </c>
      <c r="C7" s="8">
        <v>7</v>
      </c>
      <c r="D7" s="12">
        <v>50</v>
      </c>
      <c r="E7" s="7">
        <v>987</v>
      </c>
    </row>
    <row r="8" spans="1:6" ht="30" x14ac:dyDescent="0.25">
      <c r="A8" s="7">
        <f t="shared" si="0"/>
        <v>7</v>
      </c>
      <c r="B8" s="22" t="s">
        <v>95</v>
      </c>
      <c r="C8" s="8">
        <v>3</v>
      </c>
      <c r="D8" s="12">
        <v>50</v>
      </c>
      <c r="E8" s="7">
        <v>3254</v>
      </c>
    </row>
    <row r="9" spans="1:6" ht="30" x14ac:dyDescent="0.25">
      <c r="A9" s="7">
        <f t="shared" si="0"/>
        <v>8</v>
      </c>
      <c r="B9" s="22" t="s">
        <v>97</v>
      </c>
      <c r="C9" s="8">
        <v>3</v>
      </c>
      <c r="D9" s="12">
        <v>50</v>
      </c>
      <c r="E9" s="7">
        <v>62</v>
      </c>
    </row>
    <row r="10" spans="1:6" ht="30" x14ac:dyDescent="0.25">
      <c r="A10" s="7">
        <f t="shared" si="0"/>
        <v>9</v>
      </c>
      <c r="B10" s="22" t="s">
        <v>96</v>
      </c>
      <c r="C10" s="8">
        <v>3</v>
      </c>
      <c r="D10" s="12">
        <v>50</v>
      </c>
      <c r="E10" s="7">
        <v>65873</v>
      </c>
    </row>
    <row r="11" spans="1:6" ht="30" x14ac:dyDescent="0.25">
      <c r="A11" s="7">
        <f t="shared" si="0"/>
        <v>10</v>
      </c>
      <c r="B11" s="22" t="s">
        <v>98</v>
      </c>
      <c r="C11" s="8">
        <v>3</v>
      </c>
      <c r="D11" s="12">
        <v>50</v>
      </c>
      <c r="E11" s="7">
        <v>214</v>
      </c>
    </row>
    <row r="12" spans="1:6" ht="30" x14ac:dyDescent="0.25">
      <c r="A12" s="7">
        <f t="shared" si="0"/>
        <v>11</v>
      </c>
      <c r="B12" s="22" t="s">
        <v>99</v>
      </c>
      <c r="C12" s="8">
        <v>3</v>
      </c>
      <c r="D12" s="12">
        <v>50</v>
      </c>
      <c r="E12" s="7">
        <v>2447</v>
      </c>
    </row>
    <row r="13" spans="1:6" ht="30" x14ac:dyDescent="0.25">
      <c r="A13" s="7">
        <f t="shared" ref="A13:A16" si="1">ROW()-1</f>
        <v>12</v>
      </c>
      <c r="B13" s="22" t="s">
        <v>100</v>
      </c>
      <c r="C13" s="8">
        <v>4</v>
      </c>
      <c r="D13" s="12">
        <v>51</v>
      </c>
      <c r="E13" s="7">
        <v>22553</v>
      </c>
    </row>
    <row r="14" spans="1:6" ht="30" x14ac:dyDescent="0.25">
      <c r="A14" s="7">
        <f t="shared" si="1"/>
        <v>13</v>
      </c>
      <c r="B14" s="22" t="s">
        <v>101</v>
      </c>
      <c r="C14" s="8">
        <v>5</v>
      </c>
      <c r="D14" s="12">
        <v>52</v>
      </c>
      <c r="E14" s="7">
        <v>124</v>
      </c>
    </row>
    <row r="15" spans="1:6" ht="30" x14ac:dyDescent="0.25">
      <c r="A15" s="7">
        <f t="shared" si="1"/>
        <v>14</v>
      </c>
      <c r="B15" s="22" t="s">
        <v>102</v>
      </c>
      <c r="C15" s="8">
        <v>6</v>
      </c>
      <c r="D15" s="12">
        <v>53</v>
      </c>
      <c r="E15" s="7">
        <v>2</v>
      </c>
    </row>
    <row r="16" spans="1:6" ht="30" x14ac:dyDescent="0.25">
      <c r="A16" s="7">
        <f t="shared" si="1"/>
        <v>15</v>
      </c>
      <c r="B16" s="22" t="s">
        <v>103</v>
      </c>
      <c r="C16" s="8">
        <v>7</v>
      </c>
      <c r="D16" s="12">
        <v>54</v>
      </c>
      <c r="E16" s="7">
        <v>14</v>
      </c>
    </row>
    <row r="17" spans="4:4" x14ac:dyDescent="0.25">
      <c r="D17" s="12"/>
    </row>
    <row r="18" spans="4:4" x14ac:dyDescent="0.25">
      <c r="D18" s="12"/>
    </row>
    <row r="19" spans="4:4" x14ac:dyDescent="0.25">
      <c r="D19" s="12"/>
    </row>
    <row r="20" spans="4:4" x14ac:dyDescent="0.25">
      <c r="D20" s="12"/>
    </row>
    <row r="21" spans="4:4" x14ac:dyDescent="0.25">
      <c r="D21" s="12"/>
    </row>
    <row r="22" spans="4:4" x14ac:dyDescent="0.25">
      <c r="D22" s="12"/>
    </row>
    <row r="23" spans="4:4" x14ac:dyDescent="0.25">
      <c r="D23" s="1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CFEDD-8361-4E7D-92E1-38166EAABAAC}">
  <sheetPr codeName="CLIENTES"/>
  <dimension ref="A1:F23"/>
  <sheetViews>
    <sheetView workbookViewId="0">
      <selection activeCell="E2" sqref="E2"/>
    </sheetView>
  </sheetViews>
  <sheetFormatPr defaultColWidth="27.7109375" defaultRowHeight="15" x14ac:dyDescent="0.25"/>
  <cols>
    <col min="2" max="2" width="12.85546875" customWidth="1"/>
    <col min="6" max="6" width="27.7109375" style="6"/>
  </cols>
  <sheetData>
    <row r="1" spans="1:6" x14ac:dyDescent="0.25">
      <c r="A1" t="s">
        <v>23</v>
      </c>
      <c r="B1" t="s">
        <v>25</v>
      </c>
      <c r="C1" t="s">
        <v>7</v>
      </c>
      <c r="D1" t="s">
        <v>31</v>
      </c>
      <c r="E1" t="s">
        <v>55</v>
      </c>
      <c r="F1" s="6" t="s">
        <v>32</v>
      </c>
    </row>
    <row r="2" spans="1:6" x14ac:dyDescent="0.25">
      <c r="A2" t="str" cm="1">
        <f t="array" ref="A2:A23">_xlfn._xlws.SORT(_xlfn._xlws.FILTER(C2:C23,ISNUMBER(FIND(PROPER(VENDAS!B16),C2:C23)),"NÃO CADASTRADO"),,1)</f>
        <v>ANA</v>
      </c>
      <c r="B2">
        <f t="shared" ref="B2:B16" si="0">ROW()-1</f>
        <v>1</v>
      </c>
      <c r="C2" t="s">
        <v>88</v>
      </c>
      <c r="D2" t="s">
        <v>89</v>
      </c>
      <c r="E2" s="11">
        <v>1</v>
      </c>
      <c r="F2" s="6">
        <v>21900000000</v>
      </c>
    </row>
    <row r="3" spans="1:6" x14ac:dyDescent="0.25">
      <c r="A3" t="str">
        <v>CAMILA</v>
      </c>
      <c r="B3">
        <f t="shared" si="0"/>
        <v>2</v>
      </c>
      <c r="C3" t="s">
        <v>9</v>
      </c>
      <c r="D3" t="s">
        <v>33</v>
      </c>
      <c r="F3" s="6">
        <v>21900000000</v>
      </c>
    </row>
    <row r="4" spans="1:6" x14ac:dyDescent="0.25">
      <c r="A4" t="str">
        <v>DAVI LUCCA</v>
      </c>
      <c r="B4">
        <f t="shared" si="0"/>
        <v>3</v>
      </c>
      <c r="C4" t="s">
        <v>34</v>
      </c>
      <c r="D4" t="s">
        <v>35</v>
      </c>
      <c r="F4" s="6">
        <v>21900000000</v>
      </c>
    </row>
    <row r="5" spans="1:6" x14ac:dyDescent="0.25">
      <c r="A5" t="str">
        <v>João Victor</v>
      </c>
      <c r="B5">
        <f t="shared" si="0"/>
        <v>4</v>
      </c>
      <c r="C5" t="s">
        <v>36</v>
      </c>
      <c r="D5" t="s">
        <v>37</v>
      </c>
      <c r="F5" s="6">
        <v>21900000000</v>
      </c>
    </row>
    <row r="6" spans="1:6" x14ac:dyDescent="0.25">
      <c r="A6" t="str">
        <v>Marques</v>
      </c>
      <c r="B6">
        <f t="shared" si="0"/>
        <v>5</v>
      </c>
      <c r="C6" t="s">
        <v>38</v>
      </c>
      <c r="D6" t="s">
        <v>35</v>
      </c>
      <c r="F6" s="6">
        <v>21900000000</v>
      </c>
    </row>
    <row r="7" spans="1:6" x14ac:dyDescent="0.25">
      <c r="A7" t="str">
        <v>Matheus</v>
      </c>
      <c r="B7">
        <f t="shared" si="0"/>
        <v>6</v>
      </c>
      <c r="C7" t="s">
        <v>39</v>
      </c>
      <c r="D7" t="s">
        <v>40</v>
      </c>
      <c r="E7" t="s">
        <v>40</v>
      </c>
      <c r="F7" s="6">
        <v>21900000000</v>
      </c>
    </row>
    <row r="8" spans="1:6" x14ac:dyDescent="0.25">
      <c r="A8" t="str">
        <v>Não Identificado</v>
      </c>
      <c r="B8">
        <f t="shared" si="0"/>
        <v>7</v>
      </c>
      <c r="C8" t="s">
        <v>48</v>
      </c>
      <c r="D8" t="s">
        <v>40</v>
      </c>
      <c r="E8" t="s">
        <v>40</v>
      </c>
      <c r="F8" s="6">
        <v>21900000000</v>
      </c>
    </row>
    <row r="9" spans="1:6" x14ac:dyDescent="0.25">
      <c r="A9" t="str">
        <v>Pedro</v>
      </c>
      <c r="B9">
        <f t="shared" si="0"/>
        <v>8</v>
      </c>
      <c r="C9" t="s">
        <v>41</v>
      </c>
      <c r="D9" t="s">
        <v>40</v>
      </c>
      <c r="E9" t="s">
        <v>40</v>
      </c>
      <c r="F9" s="6">
        <v>21900000000</v>
      </c>
    </row>
    <row r="10" spans="1:6" x14ac:dyDescent="0.25">
      <c r="A10" t="str">
        <v>Rafael Nascimento</v>
      </c>
      <c r="B10">
        <f t="shared" si="0"/>
        <v>9</v>
      </c>
      <c r="C10" t="s">
        <v>42</v>
      </c>
      <c r="D10" t="s">
        <v>40</v>
      </c>
      <c r="E10" t="s">
        <v>40</v>
      </c>
      <c r="F10" s="6">
        <v>21900000000</v>
      </c>
    </row>
    <row r="11" spans="1:6" x14ac:dyDescent="0.25">
      <c r="A11" t="str">
        <v xml:space="preserve">RAQUEL </v>
      </c>
      <c r="B11">
        <f t="shared" si="0"/>
        <v>10</v>
      </c>
      <c r="C11" t="s">
        <v>43</v>
      </c>
      <c r="D11" t="s">
        <v>40</v>
      </c>
      <c r="E11" t="s">
        <v>40</v>
      </c>
      <c r="F11" s="6">
        <v>21900000000</v>
      </c>
    </row>
    <row r="12" spans="1:6" x14ac:dyDescent="0.25">
      <c r="A12" t="str">
        <v>RAY</v>
      </c>
      <c r="B12">
        <f t="shared" si="0"/>
        <v>11</v>
      </c>
      <c r="C12" t="s">
        <v>44</v>
      </c>
      <c r="D12" t="s">
        <v>40</v>
      </c>
      <c r="E12" t="s">
        <v>40</v>
      </c>
      <c r="F12" s="6">
        <v>21900000000</v>
      </c>
    </row>
    <row r="13" spans="1:6" x14ac:dyDescent="0.25">
      <c r="A13" t="str">
        <v>RAYANE</v>
      </c>
      <c r="B13">
        <f t="shared" si="0"/>
        <v>12</v>
      </c>
      <c r="C13" t="s">
        <v>45</v>
      </c>
      <c r="D13" t="s">
        <v>40</v>
      </c>
      <c r="E13" t="s">
        <v>40</v>
      </c>
      <c r="F13" s="6">
        <v>21900000000</v>
      </c>
    </row>
    <row r="14" spans="1:6" x14ac:dyDescent="0.25">
      <c r="A14" t="str">
        <v>RAYLLA</v>
      </c>
      <c r="B14">
        <f t="shared" si="0"/>
        <v>13</v>
      </c>
      <c r="C14" t="s">
        <v>47</v>
      </c>
      <c r="D14" t="s">
        <v>40</v>
      </c>
      <c r="E14" t="s">
        <v>40</v>
      </c>
      <c r="F14" s="6">
        <v>21900000000</v>
      </c>
    </row>
    <row r="15" spans="1:6" x14ac:dyDescent="0.25">
      <c r="A15" t="str">
        <v xml:space="preserve">SALVADOR </v>
      </c>
      <c r="B15">
        <f t="shared" si="0"/>
        <v>14</v>
      </c>
      <c r="C15" t="s">
        <v>46</v>
      </c>
      <c r="D15" t="s">
        <v>40</v>
      </c>
      <c r="E15" t="s">
        <v>40</v>
      </c>
      <c r="F15" s="6">
        <v>21900000000</v>
      </c>
    </row>
    <row r="16" spans="1:6" x14ac:dyDescent="0.25">
      <c r="A16" t="str">
        <v>VINCI</v>
      </c>
      <c r="B16">
        <f t="shared" si="0"/>
        <v>15</v>
      </c>
      <c r="C16" t="s">
        <v>49</v>
      </c>
      <c r="D16" t="s">
        <v>40</v>
      </c>
      <c r="E16" t="s">
        <v>40</v>
      </c>
      <c r="F16" s="6" t="s">
        <v>50</v>
      </c>
    </row>
    <row r="17" spans="1:6" x14ac:dyDescent="0.25">
      <c r="A17" t="str">
        <v>VINI</v>
      </c>
      <c r="B17">
        <f t="shared" ref="B17:B22" si="1">ROW()-1</f>
        <v>16</v>
      </c>
      <c r="C17" t="s">
        <v>51</v>
      </c>
      <c r="D17" t="s">
        <v>52</v>
      </c>
      <c r="E17" t="s">
        <v>53</v>
      </c>
      <c r="F17" s="6" t="s">
        <v>54</v>
      </c>
    </row>
    <row r="18" spans="1:6" x14ac:dyDescent="0.25">
      <c r="A18" t="str">
        <v>Vinicius Aquino</v>
      </c>
      <c r="B18">
        <f t="shared" si="1"/>
        <v>17</v>
      </c>
      <c r="C18" t="s">
        <v>68</v>
      </c>
      <c r="D18" t="s">
        <v>69</v>
      </c>
      <c r="E18" t="s">
        <v>70</v>
      </c>
      <c r="F18" s="6" t="s">
        <v>71</v>
      </c>
    </row>
    <row r="19" spans="1:6" x14ac:dyDescent="0.25">
      <c r="A19" t="str">
        <v>Vinicius Souza</v>
      </c>
      <c r="B19">
        <f t="shared" si="1"/>
        <v>18</v>
      </c>
      <c r="C19" t="s">
        <v>61</v>
      </c>
      <c r="D19" t="s">
        <v>105</v>
      </c>
      <c r="E19" t="s">
        <v>106</v>
      </c>
      <c r="F19" s="6" t="s">
        <v>64</v>
      </c>
    </row>
    <row r="20" spans="1:6" x14ac:dyDescent="0.25">
      <c r="A20" t="str">
        <v>Vinicius Vieira</v>
      </c>
      <c r="B20">
        <f t="shared" si="1"/>
        <v>19</v>
      </c>
      <c r="C20" t="s">
        <v>114</v>
      </c>
      <c r="D20" t="s">
        <v>40</v>
      </c>
      <c r="E20" t="s">
        <v>115</v>
      </c>
      <c r="F20" s="6" t="s">
        <v>116</v>
      </c>
    </row>
    <row r="21" spans="1:6" x14ac:dyDescent="0.25">
      <c r="A21" t="str">
        <v>Yolanda</v>
      </c>
      <c r="B21">
        <f t="shared" si="1"/>
        <v>20</v>
      </c>
      <c r="C21" t="s">
        <v>118</v>
      </c>
      <c r="D21" t="s">
        <v>40</v>
      </c>
      <c r="E21" t="s">
        <v>63</v>
      </c>
      <c r="F21" s="6" t="s">
        <v>67</v>
      </c>
    </row>
    <row r="22" spans="1:6" x14ac:dyDescent="0.25">
      <c r="A22" t="str">
        <v>Yolanda Costa</v>
      </c>
      <c r="B22">
        <f t="shared" si="1"/>
        <v>21</v>
      </c>
      <c r="C22" t="s">
        <v>126</v>
      </c>
      <c r="D22" t="s">
        <v>127</v>
      </c>
      <c r="E22" t="s">
        <v>125</v>
      </c>
      <c r="F22" s="6" t="s">
        <v>71</v>
      </c>
    </row>
    <row r="23" spans="1:6" x14ac:dyDescent="0.25">
      <c r="A23" t="str">
        <v>Yolanda de Oliveira</v>
      </c>
      <c r="B23">
        <f>ROW()-1</f>
        <v>22</v>
      </c>
      <c r="C23" t="s">
        <v>134</v>
      </c>
      <c r="D23" t="s">
        <v>40</v>
      </c>
      <c r="E23" t="s">
        <v>135</v>
      </c>
      <c r="F23" s="6" t="s">
        <v>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D14FE-12DB-49C5-9599-0EFA71416F1D}">
  <sheetPr codeName="FUNCIONARIOS"/>
  <dimension ref="A1:G5"/>
  <sheetViews>
    <sheetView workbookViewId="0">
      <selection activeCell="G3" sqref="G3"/>
    </sheetView>
  </sheetViews>
  <sheetFormatPr defaultRowHeight="15" x14ac:dyDescent="0.25"/>
  <cols>
    <col min="1" max="1" width="10.5703125" bestFit="1" customWidth="1"/>
    <col min="2" max="2" width="20.140625" customWidth="1"/>
    <col min="3" max="3" width="19" customWidth="1"/>
    <col min="4" max="4" width="24.28515625" bestFit="1" customWidth="1"/>
    <col min="5" max="5" width="13.5703125" bestFit="1" customWidth="1"/>
    <col min="6" max="6" width="68.140625" customWidth="1"/>
    <col min="7" max="7" width="21" bestFit="1" customWidth="1"/>
  </cols>
  <sheetData>
    <row r="1" spans="1:7" x14ac:dyDescent="0.25">
      <c r="A1" t="s">
        <v>6</v>
      </c>
      <c r="B1" t="s">
        <v>7</v>
      </c>
      <c r="C1" t="s">
        <v>8</v>
      </c>
      <c r="D1" t="s">
        <v>56</v>
      </c>
      <c r="E1" t="s">
        <v>59</v>
      </c>
      <c r="F1" t="s">
        <v>60</v>
      </c>
      <c r="G1" t="s">
        <v>124</v>
      </c>
    </row>
    <row r="2" spans="1:7" x14ac:dyDescent="0.25">
      <c r="A2" s="1">
        <f>ROW()-1</f>
        <v>1</v>
      </c>
      <c r="B2" t="s">
        <v>61</v>
      </c>
      <c r="C2" t="s">
        <v>62</v>
      </c>
      <c r="D2" t="s">
        <v>63</v>
      </c>
      <c r="E2" s="11" t="s">
        <v>64</v>
      </c>
      <c r="F2" s="11" t="s">
        <v>65</v>
      </c>
      <c r="G2" t="s">
        <v>138</v>
      </c>
    </row>
    <row r="3" spans="1:7" x14ac:dyDescent="0.25">
      <c r="A3" s="1">
        <f>ROW()-1</f>
        <v>2</v>
      </c>
      <c r="B3" t="s">
        <v>66</v>
      </c>
      <c r="C3" t="s">
        <v>62</v>
      </c>
      <c r="D3" s="11">
        <v>36624</v>
      </c>
      <c r="E3" s="11" t="s">
        <v>67</v>
      </c>
      <c r="F3" s="11" t="s">
        <v>65</v>
      </c>
      <c r="G3">
        <v>123</v>
      </c>
    </row>
    <row r="4" spans="1:7" x14ac:dyDescent="0.25">
      <c r="A4" s="1">
        <f>ROW()-1</f>
        <v>3</v>
      </c>
      <c r="B4" t="s">
        <v>136</v>
      </c>
      <c r="C4" t="s">
        <v>137</v>
      </c>
      <c r="D4" t="s">
        <v>119</v>
      </c>
      <c r="E4" s="42" t="s">
        <v>116</v>
      </c>
      <c r="F4" s="42" t="s">
        <v>120</v>
      </c>
      <c r="G4">
        <v>123</v>
      </c>
    </row>
    <row r="5" spans="1:7" x14ac:dyDescent="0.25">
      <c r="A5" s="1">
        <f>ROW()-1</f>
        <v>4</v>
      </c>
      <c r="B5" t="s">
        <v>128</v>
      </c>
      <c r="C5" t="s">
        <v>137</v>
      </c>
      <c r="D5" t="s">
        <v>129</v>
      </c>
      <c r="E5" s="42" t="s">
        <v>130</v>
      </c>
      <c r="F5" s="42" t="s">
        <v>131</v>
      </c>
      <c r="G5" t="s">
        <v>132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4A8D1-F687-4D66-9453-409E99E4B91C}">
  <sheetPr codeName="Planilha1"/>
  <dimension ref="A1:H42"/>
  <sheetViews>
    <sheetView showGridLines="0" showRowColHeaders="0" zoomScale="70" zoomScaleNormal="70" workbookViewId="0">
      <selection activeCell="A12" sqref="A12:F26"/>
    </sheetView>
  </sheetViews>
  <sheetFormatPr defaultRowHeight="15" x14ac:dyDescent="0.25"/>
  <cols>
    <col min="1" max="1" width="8.140625" customWidth="1"/>
    <col min="2" max="2" width="22.85546875" customWidth="1"/>
    <col min="3" max="3" width="13.5703125" customWidth="1"/>
    <col min="4" max="4" width="13.140625" customWidth="1"/>
    <col min="5" max="5" width="4.85546875" customWidth="1"/>
    <col min="6" max="6" width="15.7109375" customWidth="1"/>
    <col min="7" max="7" width="19.7109375" customWidth="1"/>
    <col min="16" max="16" width="15.85546875" bestFit="1" customWidth="1"/>
  </cols>
  <sheetData>
    <row r="1" spans="1:7" ht="26.25" x14ac:dyDescent="0.4">
      <c r="A1" s="66" t="s">
        <v>82</v>
      </c>
      <c r="B1" s="66"/>
      <c r="C1" s="66"/>
      <c r="D1" s="66"/>
      <c r="E1" s="66"/>
      <c r="F1" s="66"/>
      <c r="G1" s="21"/>
    </row>
    <row r="2" spans="1:7" ht="21" x14ac:dyDescent="0.35">
      <c r="A2" s="67" t="s">
        <v>84</v>
      </c>
      <c r="B2" s="67"/>
      <c r="C2" s="67"/>
      <c r="D2" s="67"/>
      <c r="E2" s="67"/>
      <c r="F2" s="67"/>
      <c r="G2" s="34"/>
    </row>
    <row r="3" spans="1:7" ht="21" x14ac:dyDescent="0.35">
      <c r="A3" s="67" t="s">
        <v>83</v>
      </c>
      <c r="B3" s="67"/>
      <c r="C3" s="67"/>
      <c r="D3" s="67"/>
      <c r="E3" s="67"/>
      <c r="F3" s="67"/>
      <c r="G3" s="34"/>
    </row>
    <row r="4" spans="1:7" ht="21" x14ac:dyDescent="0.35">
      <c r="A4" s="67" t="s">
        <v>85</v>
      </c>
      <c r="B4" s="67"/>
      <c r="C4" s="67"/>
      <c r="D4" s="67"/>
      <c r="E4" s="67"/>
      <c r="F4" s="67"/>
      <c r="G4" s="34"/>
    </row>
    <row r="5" spans="1:7" ht="21" x14ac:dyDescent="0.35">
      <c r="A5" s="25" t="s">
        <v>86</v>
      </c>
      <c r="B5" s="14"/>
      <c r="C5" s="14"/>
      <c r="D5" s="14"/>
      <c r="E5" s="14"/>
      <c r="F5" s="14"/>
    </row>
    <row r="6" spans="1:7" ht="23.25" x14ac:dyDescent="0.35">
      <c r="A6" s="40" t="str">
        <f>"CLIENTE: "&amp;VENDAS!B16</f>
        <v xml:space="preserve">CLIENTE: </v>
      </c>
      <c r="B6" s="14"/>
      <c r="C6" s="14"/>
      <c r="E6" s="14"/>
      <c r="F6" s="14"/>
    </row>
    <row r="7" spans="1:7" ht="23.25" x14ac:dyDescent="0.35">
      <c r="A7" s="40" t="e" vm="2">
        <f ca="1">"ID CLIENTE: "&amp;VENDAS!B22</f>
        <v>#VALUE!</v>
      </c>
      <c r="F7" s="39" t="s">
        <v>108</v>
      </c>
      <c r="G7" s="18"/>
    </row>
    <row r="8" spans="1:7" ht="23.25" x14ac:dyDescent="0.35">
      <c r="A8" s="69">
        <f ca="1">NOW()</f>
        <v>45122.020403009257</v>
      </c>
      <c r="B8" s="69"/>
      <c r="C8" s="69"/>
      <c r="D8" s="38" t="s">
        <v>87</v>
      </c>
      <c r="E8" s="70">
        <v>3</v>
      </c>
      <c r="F8" s="70"/>
    </row>
    <row r="9" spans="1:7" ht="5.25" customHeight="1" x14ac:dyDescent="0.3">
      <c r="A9" s="15"/>
      <c r="B9" s="15"/>
      <c r="C9" s="15"/>
      <c r="D9" s="16"/>
      <c r="E9" s="17"/>
      <c r="F9" s="17"/>
      <c r="G9" s="33"/>
    </row>
    <row r="10" spans="1:7" ht="7.5" customHeight="1" x14ac:dyDescent="0.25">
      <c r="A10" s="68"/>
      <c r="B10" s="68"/>
      <c r="C10" s="68"/>
      <c r="D10" s="68"/>
      <c r="E10" s="68"/>
      <c r="F10" s="68"/>
    </row>
    <row r="11" spans="1:7" ht="30" customHeight="1" x14ac:dyDescent="0.25">
      <c r="A11" s="28" t="s">
        <v>80</v>
      </c>
      <c r="B11" s="29" t="s">
        <v>29</v>
      </c>
      <c r="C11" s="30" t="s">
        <v>20</v>
      </c>
      <c r="D11" s="29" t="s">
        <v>19</v>
      </c>
      <c r="E11" s="29" t="s">
        <v>104</v>
      </c>
      <c r="F11" s="29" t="s">
        <v>18</v>
      </c>
    </row>
    <row r="12" spans="1:7" s="25" customFormat="1" ht="99.95" customHeight="1" x14ac:dyDescent="0.35">
      <c r="A12" s="24"/>
      <c r="B12" s="24"/>
      <c r="C12" s="24"/>
      <c r="D12" s="24"/>
      <c r="E12" s="24"/>
      <c r="F12" s="24"/>
      <c r="G12" s="35"/>
    </row>
    <row r="13" spans="1:7" s="25" customFormat="1" ht="99.95" customHeight="1" x14ac:dyDescent="0.35">
      <c r="A13" s="24"/>
      <c r="B13" s="24"/>
      <c r="C13" s="24"/>
      <c r="D13" s="24"/>
      <c r="E13" s="24"/>
      <c r="F13" s="24"/>
      <c r="G13" s="35"/>
    </row>
    <row r="14" spans="1:7" s="25" customFormat="1" ht="99.95" customHeight="1" x14ac:dyDescent="0.35">
      <c r="A14" s="24"/>
      <c r="B14" s="24"/>
      <c r="C14" s="24"/>
      <c r="D14" s="24"/>
      <c r="E14" s="24"/>
      <c r="F14" s="24"/>
      <c r="G14" s="35"/>
    </row>
    <row r="15" spans="1:7" s="25" customFormat="1" ht="99.95" customHeight="1" x14ac:dyDescent="0.35">
      <c r="A15" s="24"/>
      <c r="B15" s="24"/>
      <c r="C15" s="24"/>
      <c r="D15" s="24"/>
      <c r="E15" s="24"/>
      <c r="F15" s="24"/>
      <c r="G15" s="35"/>
    </row>
    <row r="16" spans="1:7" s="25" customFormat="1" ht="99.95" customHeight="1" x14ac:dyDescent="0.35">
      <c r="A16" s="24"/>
      <c r="B16" s="24"/>
      <c r="C16" s="24"/>
      <c r="D16" s="24"/>
      <c r="E16" s="24"/>
      <c r="F16" s="24"/>
      <c r="G16" s="35"/>
    </row>
    <row r="17" spans="1:8" s="25" customFormat="1" ht="99.95" customHeight="1" x14ac:dyDescent="0.35">
      <c r="A17" s="24"/>
      <c r="B17" s="24"/>
      <c r="C17" s="24"/>
      <c r="D17" s="24"/>
      <c r="E17" s="24"/>
      <c r="F17" s="24"/>
      <c r="G17" s="35"/>
    </row>
    <row r="18" spans="1:8" s="25" customFormat="1" ht="99.95" customHeight="1" x14ac:dyDescent="0.35">
      <c r="A18" s="24"/>
      <c r="B18" s="24"/>
      <c r="C18" s="24"/>
      <c r="D18" s="24"/>
      <c r="E18" s="24"/>
      <c r="F18" s="24"/>
      <c r="G18" s="35"/>
    </row>
    <row r="19" spans="1:8" s="25" customFormat="1" ht="99.95" customHeight="1" x14ac:dyDescent="0.35">
      <c r="A19" s="24"/>
      <c r="B19" s="24"/>
      <c r="C19" s="24"/>
      <c r="D19" s="24"/>
      <c r="E19" s="24"/>
      <c r="F19" s="24"/>
      <c r="G19" s="35"/>
    </row>
    <row r="20" spans="1:8" s="25" customFormat="1" ht="99.95" customHeight="1" x14ac:dyDescent="0.35">
      <c r="A20" s="24"/>
      <c r="B20" s="24"/>
      <c r="C20" s="24"/>
      <c r="D20" s="24"/>
      <c r="E20" s="24"/>
      <c r="F20" s="24"/>
      <c r="G20" s="35"/>
    </row>
    <row r="21" spans="1:8" s="25" customFormat="1" ht="99.95" customHeight="1" x14ac:dyDescent="0.35">
      <c r="A21" s="24"/>
      <c r="B21" s="24"/>
      <c r="C21" s="24"/>
      <c r="D21" s="24"/>
      <c r="E21" s="24"/>
      <c r="F21" s="24"/>
      <c r="G21" s="35"/>
    </row>
    <row r="22" spans="1:8" s="25" customFormat="1" ht="99.95" customHeight="1" x14ac:dyDescent="0.35">
      <c r="A22" s="24"/>
      <c r="B22" s="24"/>
      <c r="C22" s="24"/>
      <c r="D22" s="24"/>
      <c r="E22" s="24"/>
      <c r="F22" s="24"/>
      <c r="G22" s="35"/>
    </row>
    <row r="23" spans="1:8" s="25" customFormat="1" ht="99.95" customHeight="1" x14ac:dyDescent="0.35">
      <c r="A23" s="24"/>
      <c r="B23" s="24"/>
      <c r="C23" s="24"/>
      <c r="D23" s="24"/>
      <c r="E23" s="24"/>
      <c r="F23" s="24"/>
      <c r="G23" s="35"/>
    </row>
    <row r="24" spans="1:8" s="25" customFormat="1" ht="99.95" customHeight="1" x14ac:dyDescent="0.35">
      <c r="A24" s="24"/>
      <c r="B24" s="24"/>
      <c r="C24" s="24"/>
      <c r="D24" s="24"/>
      <c r="E24" s="24"/>
      <c r="F24" s="24"/>
      <c r="G24" s="35"/>
    </row>
    <row r="25" spans="1:8" s="25" customFormat="1" ht="99.95" customHeight="1" x14ac:dyDescent="0.35">
      <c r="A25" s="24"/>
      <c r="B25" s="24"/>
      <c r="C25" s="24"/>
      <c r="D25" s="24"/>
      <c r="E25" s="24"/>
      <c r="F25" s="24"/>
      <c r="G25" s="35"/>
    </row>
    <row r="26" spans="1:8" s="25" customFormat="1" ht="99.95" customHeight="1" x14ac:dyDescent="0.35">
      <c r="A26" s="24"/>
      <c r="B26" s="24"/>
      <c r="C26" s="24"/>
      <c r="D26" s="24"/>
      <c r="E26" s="24"/>
      <c r="F26" s="24"/>
      <c r="G26" s="35"/>
    </row>
    <row r="27" spans="1:8" ht="21" x14ac:dyDescent="0.35">
      <c r="A27" s="20" t="s">
        <v>90</v>
      </c>
      <c r="B27" s="20"/>
      <c r="C27" s="20"/>
      <c r="D27" s="62">
        <f>SUM(F12:F26)</f>
        <v>0</v>
      </c>
      <c r="E27" s="62"/>
      <c r="F27" s="62"/>
    </row>
    <row r="28" spans="1:8" ht="21" customHeight="1" x14ac:dyDescent="0.55000000000000004">
      <c r="A28" s="21" t="s">
        <v>91</v>
      </c>
      <c r="B28" s="21"/>
      <c r="C28" s="21"/>
      <c r="D28" s="63">
        <f>IF(VENDAS!K11&lt;&gt;"",VENDAS!K11,0)</f>
        <v>0</v>
      </c>
      <c r="E28" s="63"/>
      <c r="F28" s="63"/>
      <c r="G28" s="26"/>
      <c r="H28" s="26"/>
    </row>
    <row r="29" spans="1:8" ht="21" customHeight="1" x14ac:dyDescent="0.55000000000000004">
      <c r="A29" s="21" t="s">
        <v>92</v>
      </c>
      <c r="B29" s="21"/>
      <c r="C29" s="21"/>
      <c r="D29" s="64">
        <f>D28-D27</f>
        <v>0</v>
      </c>
      <c r="E29" s="64"/>
      <c r="F29" s="64"/>
      <c r="G29" s="26"/>
      <c r="H29" s="26"/>
    </row>
    <row r="30" spans="1:8" ht="21" customHeight="1" x14ac:dyDescent="0.55000000000000004">
      <c r="A30" s="43" t="str">
        <f>VENDAS!S21</f>
        <v>Vinicius Aquino</v>
      </c>
      <c r="B30" s="19"/>
      <c r="C30" s="19"/>
      <c r="D30" s="19"/>
      <c r="E30" s="19"/>
      <c r="F30" s="19"/>
      <c r="G30" s="26"/>
    </row>
    <row r="31" spans="1:8" ht="21" customHeight="1" x14ac:dyDescent="0.55000000000000004">
      <c r="A31" s="25" t="str">
        <f>"Atendente: "&amp;VENDAS!S21</f>
        <v>Atendente: Vinicius Aquino</v>
      </c>
      <c r="G31" s="26"/>
    </row>
    <row r="32" spans="1:8" ht="20.25" customHeight="1" x14ac:dyDescent="0.55000000000000004">
      <c r="G32" s="26"/>
    </row>
    <row r="33" spans="1:7" ht="20.25" customHeight="1" x14ac:dyDescent="0.55000000000000004">
      <c r="A33" s="19"/>
      <c r="B33" s="19"/>
      <c r="C33" s="19"/>
      <c r="D33" s="19"/>
      <c r="E33" s="19"/>
      <c r="F33" s="19"/>
      <c r="G33" s="26"/>
    </row>
    <row r="34" spans="1:7" ht="83.25" customHeight="1" x14ac:dyDescent="0.55000000000000004">
      <c r="A34" s="71" t="s">
        <v>123</v>
      </c>
      <c r="B34" s="71"/>
      <c r="C34" s="71"/>
      <c r="D34" s="71"/>
      <c r="E34" s="71"/>
      <c r="F34" s="71"/>
      <c r="G34" s="26"/>
    </row>
    <row r="35" spans="1:7" ht="15" customHeight="1" x14ac:dyDescent="0.55000000000000004">
      <c r="G35" s="32"/>
    </row>
    <row r="36" spans="1:7" x14ac:dyDescent="0.25">
      <c r="A36" s="19"/>
      <c r="B36" s="19"/>
      <c r="C36" s="19"/>
      <c r="D36" s="19"/>
      <c r="E36" s="19"/>
      <c r="F36" s="19"/>
    </row>
    <row r="37" spans="1:7" ht="21" customHeight="1" x14ac:dyDescent="0.25">
      <c r="A37" s="65" t="s">
        <v>93</v>
      </c>
      <c r="B37" s="65"/>
      <c r="C37" s="65"/>
      <c r="D37" s="65"/>
      <c r="E37" s="65"/>
      <c r="F37" s="65"/>
      <c r="G37" s="31"/>
    </row>
    <row r="38" spans="1:7" x14ac:dyDescent="0.25">
      <c r="A38" s="65"/>
      <c r="B38" s="65"/>
      <c r="C38" s="65"/>
      <c r="D38" s="65"/>
      <c r="E38" s="65"/>
      <c r="F38" s="65"/>
    </row>
    <row r="39" spans="1:7" x14ac:dyDescent="0.25">
      <c r="A39" s="65"/>
      <c r="B39" s="65"/>
      <c r="C39" s="65"/>
      <c r="D39" s="65"/>
      <c r="E39" s="65"/>
      <c r="F39" s="65"/>
    </row>
    <row r="40" spans="1:7" x14ac:dyDescent="0.25">
      <c r="A40" s="65"/>
      <c r="B40" s="65"/>
      <c r="C40" s="65"/>
      <c r="D40" s="65"/>
      <c r="E40" s="65"/>
      <c r="F40" s="65"/>
    </row>
    <row r="41" spans="1:7" x14ac:dyDescent="0.25">
      <c r="A41" s="65"/>
      <c r="B41" s="65"/>
      <c r="C41" s="65"/>
      <c r="D41" s="65"/>
      <c r="E41" s="65"/>
      <c r="F41" s="65"/>
    </row>
    <row r="42" spans="1:7" x14ac:dyDescent="0.25">
      <c r="A42" s="65"/>
      <c r="B42" s="65"/>
      <c r="C42" s="65"/>
      <c r="D42" s="65"/>
      <c r="E42" s="65"/>
      <c r="F42" s="65"/>
    </row>
  </sheetData>
  <mergeCells count="12">
    <mergeCell ref="D27:F27"/>
    <mergeCell ref="D28:F28"/>
    <mergeCell ref="D29:F29"/>
    <mergeCell ref="A37:F42"/>
    <mergeCell ref="A1:F1"/>
    <mergeCell ref="A2:F2"/>
    <mergeCell ref="A3:F3"/>
    <mergeCell ref="A4:F4"/>
    <mergeCell ref="A10:F10"/>
    <mergeCell ref="A8:C8"/>
    <mergeCell ref="E8:F8"/>
    <mergeCell ref="A34:F34"/>
  </mergeCells>
  <phoneticPr fontId="8" type="noConversion"/>
  <printOptions horizontalCentered="1"/>
  <pageMargins left="0" right="0" top="0.78740157480314965" bottom="0.78740157480314965" header="0.11811023622047245" footer="0.31496062992125984"/>
  <pageSetup paperSize="0" scale="30" fitToHeight="0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EFA7-5BE7-43D4-B4A3-999C1627525A}">
  <sheetPr codeName="BANCODEDADOS"/>
  <dimension ref="A1:J67"/>
  <sheetViews>
    <sheetView workbookViewId="0">
      <selection activeCell="J3" sqref="J3"/>
    </sheetView>
  </sheetViews>
  <sheetFormatPr defaultRowHeight="15" x14ac:dyDescent="0.25"/>
  <cols>
    <col min="1" max="1" width="12.85546875" bestFit="1" customWidth="1"/>
    <col min="2" max="2" width="13.140625" bestFit="1" customWidth="1"/>
    <col min="3" max="3" width="15" bestFit="1" customWidth="1"/>
    <col min="4" max="4" width="41.85546875" bestFit="1" customWidth="1"/>
    <col min="5" max="5" width="14.7109375" bestFit="1" customWidth="1"/>
    <col min="6" max="6" width="19.28515625" bestFit="1" customWidth="1"/>
    <col min="7" max="7" width="20" bestFit="1" customWidth="1"/>
    <col min="8" max="8" width="19.28515625" bestFit="1" customWidth="1"/>
    <col min="9" max="9" width="15.5703125" style="11" bestFit="1" customWidth="1"/>
    <col min="10" max="10" width="16.5703125" customWidth="1"/>
  </cols>
  <sheetData>
    <row r="1" spans="1:10" x14ac:dyDescent="0.25">
      <c r="A1" t="s">
        <v>72</v>
      </c>
      <c r="B1" t="s">
        <v>74</v>
      </c>
      <c r="C1" t="s">
        <v>73</v>
      </c>
      <c r="D1" t="s">
        <v>109</v>
      </c>
      <c r="E1" t="s">
        <v>76</v>
      </c>
      <c r="F1" t="s">
        <v>111</v>
      </c>
      <c r="G1" t="s">
        <v>75</v>
      </c>
      <c r="H1" t="s">
        <v>110</v>
      </c>
      <c r="I1" s="11" t="s">
        <v>77</v>
      </c>
      <c r="J1" t="s">
        <v>137</v>
      </c>
    </row>
    <row r="3" spans="1:10" x14ac:dyDescent="0.25">
      <c r="A3">
        <v>3</v>
      </c>
      <c r="B3">
        <v>4</v>
      </c>
      <c r="C3">
        <v>4</v>
      </c>
      <c r="D3" t="s">
        <v>3</v>
      </c>
      <c r="E3">
        <v>254</v>
      </c>
      <c r="F3">
        <v>70</v>
      </c>
      <c r="G3">
        <v>1</v>
      </c>
      <c r="H3" t="s">
        <v>117</v>
      </c>
      <c r="I3" s="11">
        <v>45122.015993518522</v>
      </c>
      <c r="J3" t="s">
        <v>61</v>
      </c>
    </row>
    <row r="4" spans="1:10" x14ac:dyDescent="0.25">
      <c r="A4">
        <v>3</v>
      </c>
      <c r="B4">
        <v>4</v>
      </c>
      <c r="C4">
        <v>5</v>
      </c>
      <c r="D4" t="s">
        <v>4</v>
      </c>
      <c r="E4">
        <v>6</v>
      </c>
      <c r="F4">
        <v>10</v>
      </c>
      <c r="G4">
        <v>1</v>
      </c>
      <c r="H4" t="s">
        <v>117</v>
      </c>
      <c r="I4" s="11">
        <v>45122.015990162035</v>
      </c>
      <c r="J4" t="s">
        <v>61</v>
      </c>
    </row>
    <row r="5" spans="1:10" x14ac:dyDescent="0.25">
      <c r="A5">
        <v>3</v>
      </c>
      <c r="B5">
        <v>4</v>
      </c>
      <c r="C5">
        <v>7</v>
      </c>
      <c r="D5" t="s">
        <v>95</v>
      </c>
      <c r="E5">
        <v>3254</v>
      </c>
      <c r="F5">
        <v>3</v>
      </c>
      <c r="G5">
        <v>1</v>
      </c>
      <c r="H5" t="s">
        <v>117</v>
      </c>
      <c r="I5" s="11">
        <v>45122.015986805556</v>
      </c>
      <c r="J5" t="s">
        <v>61</v>
      </c>
    </row>
    <row r="6" spans="1:10" x14ac:dyDescent="0.25">
      <c r="A6">
        <v>3</v>
      </c>
      <c r="B6">
        <v>4</v>
      </c>
      <c r="C6">
        <v>7</v>
      </c>
      <c r="D6" t="s">
        <v>95</v>
      </c>
      <c r="E6">
        <v>3254</v>
      </c>
      <c r="F6">
        <v>3</v>
      </c>
      <c r="G6">
        <v>1</v>
      </c>
      <c r="H6" t="s">
        <v>117</v>
      </c>
      <c r="I6" s="11">
        <v>45122.015983333331</v>
      </c>
      <c r="J6" t="s">
        <v>61</v>
      </c>
    </row>
    <row r="7" spans="1:10" x14ac:dyDescent="0.25">
      <c r="A7">
        <v>3</v>
      </c>
      <c r="B7">
        <v>4</v>
      </c>
      <c r="C7">
        <v>5</v>
      </c>
      <c r="D7" t="s">
        <v>4</v>
      </c>
      <c r="E7">
        <v>6</v>
      </c>
      <c r="F7">
        <v>10</v>
      </c>
      <c r="G7">
        <v>1</v>
      </c>
      <c r="H7" t="s">
        <v>117</v>
      </c>
      <c r="I7" s="11">
        <v>45122.015979976852</v>
      </c>
      <c r="J7" t="s">
        <v>61</v>
      </c>
    </row>
    <row r="8" spans="1:10" x14ac:dyDescent="0.25">
      <c r="A8">
        <v>3</v>
      </c>
      <c r="B8">
        <v>4</v>
      </c>
      <c r="C8">
        <v>7</v>
      </c>
      <c r="D8" t="s">
        <v>95</v>
      </c>
      <c r="E8">
        <v>3254</v>
      </c>
      <c r="F8">
        <v>3</v>
      </c>
      <c r="G8">
        <v>1</v>
      </c>
      <c r="H8" t="s">
        <v>117</v>
      </c>
      <c r="I8" s="11">
        <v>45122.015976620372</v>
      </c>
      <c r="J8" t="s">
        <v>61</v>
      </c>
    </row>
    <row r="9" spans="1:10" x14ac:dyDescent="0.25">
      <c r="A9">
        <v>3</v>
      </c>
      <c r="B9">
        <v>4</v>
      </c>
      <c r="C9">
        <v>6</v>
      </c>
      <c r="D9" t="s">
        <v>5</v>
      </c>
      <c r="E9">
        <v>987</v>
      </c>
      <c r="F9">
        <v>7</v>
      </c>
      <c r="G9">
        <v>2</v>
      </c>
      <c r="H9" t="s">
        <v>117</v>
      </c>
      <c r="I9" s="11">
        <v>45122.015973263886</v>
      </c>
      <c r="J9" t="s">
        <v>61</v>
      </c>
    </row>
    <row r="10" spans="1:10" x14ac:dyDescent="0.25">
      <c r="A10">
        <v>3</v>
      </c>
      <c r="B10">
        <v>4</v>
      </c>
      <c r="C10">
        <v>7</v>
      </c>
      <c r="D10" t="s">
        <v>95</v>
      </c>
      <c r="E10">
        <v>3254</v>
      </c>
      <c r="F10">
        <v>3</v>
      </c>
      <c r="G10">
        <v>2</v>
      </c>
      <c r="H10" t="s">
        <v>117</v>
      </c>
      <c r="I10" s="11">
        <v>45122.015969791668</v>
      </c>
      <c r="J10" t="s">
        <v>61</v>
      </c>
    </row>
    <row r="11" spans="1:10" x14ac:dyDescent="0.25">
      <c r="A11">
        <v>3</v>
      </c>
      <c r="B11">
        <v>4</v>
      </c>
      <c r="C11">
        <v>8</v>
      </c>
      <c r="D11" t="s">
        <v>97</v>
      </c>
      <c r="E11">
        <v>62</v>
      </c>
      <c r="F11">
        <v>3</v>
      </c>
      <c r="G11">
        <v>2</v>
      </c>
      <c r="H11" t="s">
        <v>117</v>
      </c>
      <c r="I11" s="11">
        <v>45122.015966550927</v>
      </c>
      <c r="J11" t="s">
        <v>61</v>
      </c>
    </row>
    <row r="12" spans="1:10" x14ac:dyDescent="0.25">
      <c r="A12">
        <v>3</v>
      </c>
      <c r="B12">
        <v>4</v>
      </c>
      <c r="C12">
        <v>7</v>
      </c>
      <c r="D12" t="s">
        <v>95</v>
      </c>
      <c r="E12">
        <v>3254</v>
      </c>
      <c r="F12">
        <v>3</v>
      </c>
      <c r="G12">
        <v>3</v>
      </c>
      <c r="H12" t="s">
        <v>117</v>
      </c>
      <c r="I12" s="11">
        <v>45122.015963078702</v>
      </c>
      <c r="J12" t="s">
        <v>61</v>
      </c>
    </row>
    <row r="13" spans="1:10" x14ac:dyDescent="0.25">
      <c r="A13">
        <v>3</v>
      </c>
      <c r="B13">
        <v>4</v>
      </c>
      <c r="C13">
        <v>8</v>
      </c>
      <c r="D13" t="s">
        <v>97</v>
      </c>
      <c r="E13">
        <v>62</v>
      </c>
      <c r="F13">
        <v>3</v>
      </c>
      <c r="G13">
        <v>3</v>
      </c>
      <c r="H13" t="s">
        <v>117</v>
      </c>
      <c r="I13" s="11">
        <v>45122.015959606484</v>
      </c>
      <c r="J13" t="s">
        <v>61</v>
      </c>
    </row>
    <row r="14" spans="1:10" x14ac:dyDescent="0.25">
      <c r="A14">
        <v>3</v>
      </c>
      <c r="B14">
        <v>4</v>
      </c>
      <c r="C14">
        <v>15</v>
      </c>
      <c r="D14" t="s">
        <v>103</v>
      </c>
      <c r="E14">
        <v>14</v>
      </c>
      <c r="F14">
        <v>7</v>
      </c>
      <c r="G14">
        <v>3</v>
      </c>
      <c r="H14" t="s">
        <v>117</v>
      </c>
      <c r="I14" s="11">
        <v>45122.015956249998</v>
      </c>
      <c r="J14" t="s">
        <v>61</v>
      </c>
    </row>
    <row r="15" spans="1:10" x14ac:dyDescent="0.25">
      <c r="A15">
        <v>3</v>
      </c>
      <c r="B15">
        <v>4</v>
      </c>
      <c r="C15">
        <v>8</v>
      </c>
      <c r="D15" t="s">
        <v>97</v>
      </c>
      <c r="E15">
        <v>62</v>
      </c>
      <c r="F15">
        <v>3</v>
      </c>
      <c r="G15">
        <v>3</v>
      </c>
      <c r="H15" t="s">
        <v>117</v>
      </c>
      <c r="I15" s="11">
        <v>45122.01595277778</v>
      </c>
      <c r="J15" t="s">
        <v>61</v>
      </c>
    </row>
    <row r="16" spans="1:10" x14ac:dyDescent="0.25">
      <c r="A16">
        <v>3</v>
      </c>
      <c r="B16">
        <v>4</v>
      </c>
      <c r="C16">
        <v>15</v>
      </c>
      <c r="D16" t="s">
        <v>103</v>
      </c>
      <c r="E16">
        <v>14</v>
      </c>
      <c r="F16">
        <v>7</v>
      </c>
      <c r="G16">
        <v>3</v>
      </c>
      <c r="H16" t="s">
        <v>117</v>
      </c>
      <c r="I16" s="11">
        <v>45122.015949421293</v>
      </c>
      <c r="J16" t="s">
        <v>61</v>
      </c>
    </row>
    <row r="17" spans="1:10" x14ac:dyDescent="0.25">
      <c r="A17">
        <v>3</v>
      </c>
      <c r="B17">
        <v>4</v>
      </c>
      <c r="C17">
        <v>14</v>
      </c>
      <c r="D17" t="s">
        <v>102</v>
      </c>
      <c r="E17">
        <v>2</v>
      </c>
      <c r="F17">
        <v>6</v>
      </c>
      <c r="G17">
        <v>3</v>
      </c>
      <c r="H17" t="s">
        <v>117</v>
      </c>
      <c r="I17" s="11">
        <v>45122.015946180552</v>
      </c>
      <c r="J17" t="s">
        <v>61</v>
      </c>
    </row>
    <row r="18" spans="1:10" x14ac:dyDescent="0.25">
      <c r="A18">
        <v>2</v>
      </c>
      <c r="B18">
        <v>17</v>
      </c>
      <c r="C18">
        <v>6</v>
      </c>
      <c r="D18" t="s">
        <v>5</v>
      </c>
      <c r="E18">
        <v>987</v>
      </c>
      <c r="F18">
        <v>7</v>
      </c>
      <c r="G18">
        <v>1</v>
      </c>
      <c r="H18" t="s">
        <v>107</v>
      </c>
      <c r="I18" s="11">
        <v>45122.010621412039</v>
      </c>
      <c r="J18" t="s">
        <v>61</v>
      </c>
    </row>
    <row r="19" spans="1:10" x14ac:dyDescent="0.25">
      <c r="A19">
        <v>1</v>
      </c>
      <c r="B19">
        <v>4</v>
      </c>
      <c r="C19">
        <v>3</v>
      </c>
      <c r="D19" t="s">
        <v>2</v>
      </c>
      <c r="E19">
        <v>32</v>
      </c>
      <c r="F19">
        <v>30</v>
      </c>
      <c r="G19">
        <v>1</v>
      </c>
      <c r="H19" t="s">
        <v>122</v>
      </c>
      <c r="I19" s="11">
        <v>45122.002581597226</v>
      </c>
    </row>
    <row r="20" spans="1:10" x14ac:dyDescent="0.25">
      <c r="A20">
        <v>1602</v>
      </c>
      <c r="B20">
        <v>12</v>
      </c>
      <c r="C20">
        <v>4</v>
      </c>
      <c r="D20" t="s">
        <v>3</v>
      </c>
      <c r="E20">
        <v>254</v>
      </c>
      <c r="F20">
        <v>70</v>
      </c>
      <c r="G20">
        <v>1</v>
      </c>
      <c r="H20" t="s">
        <v>121</v>
      </c>
      <c r="I20" s="11">
        <v>45122.001182060187</v>
      </c>
    </row>
    <row r="21" spans="1:10" x14ac:dyDescent="0.25">
      <c r="A21">
        <v>1601</v>
      </c>
      <c r="B21">
        <v>12</v>
      </c>
      <c r="C21">
        <v>2</v>
      </c>
      <c r="D21" t="s">
        <v>1</v>
      </c>
      <c r="E21">
        <v>56</v>
      </c>
      <c r="F21">
        <v>20</v>
      </c>
      <c r="G21">
        <v>1</v>
      </c>
      <c r="H21" t="s">
        <v>117</v>
      </c>
      <c r="I21" s="11">
        <v>45122.000372569448</v>
      </c>
    </row>
    <row r="22" spans="1:10" x14ac:dyDescent="0.25">
      <c r="A22">
        <v>1600</v>
      </c>
      <c r="B22">
        <v>12</v>
      </c>
      <c r="C22">
        <v>2</v>
      </c>
      <c r="D22" t="s">
        <v>1</v>
      </c>
      <c r="E22">
        <v>56</v>
      </c>
      <c r="F22">
        <v>20</v>
      </c>
      <c r="G22">
        <v>1</v>
      </c>
      <c r="H22" t="s">
        <v>122</v>
      </c>
      <c r="I22" s="11">
        <v>45121.99976111111</v>
      </c>
    </row>
    <row r="23" spans="1:10" x14ac:dyDescent="0.25">
      <c r="A23">
        <v>1599</v>
      </c>
      <c r="B23">
        <v>4</v>
      </c>
      <c r="C23">
        <v>3</v>
      </c>
      <c r="D23" t="s">
        <v>2</v>
      </c>
      <c r="E23">
        <v>32</v>
      </c>
      <c r="F23">
        <v>30</v>
      </c>
      <c r="G23">
        <v>1</v>
      </c>
      <c r="H23" t="s">
        <v>117</v>
      </c>
      <c r="I23" s="11">
        <v>45121.997420833337</v>
      </c>
    </row>
    <row r="24" spans="1:10" x14ac:dyDescent="0.25">
      <c r="A24">
        <v>1598</v>
      </c>
      <c r="B24">
        <v>18</v>
      </c>
      <c r="C24">
        <v>1</v>
      </c>
      <c r="D24" t="s">
        <v>94</v>
      </c>
      <c r="E24">
        <v>10</v>
      </c>
      <c r="F24">
        <v>9.9700000000000006</v>
      </c>
      <c r="G24">
        <v>1</v>
      </c>
      <c r="H24" t="s">
        <v>117</v>
      </c>
      <c r="I24" s="11">
        <v>45116.340489004629</v>
      </c>
    </row>
    <row r="25" spans="1:10" x14ac:dyDescent="0.25">
      <c r="A25">
        <v>1597</v>
      </c>
      <c r="B25">
        <v>22</v>
      </c>
      <c r="C25">
        <v>14</v>
      </c>
      <c r="D25" t="s">
        <v>102</v>
      </c>
      <c r="E25">
        <v>2</v>
      </c>
      <c r="F25">
        <v>6</v>
      </c>
      <c r="G25">
        <v>1</v>
      </c>
      <c r="H25" t="s">
        <v>107</v>
      </c>
      <c r="I25" s="11">
        <v>45116.122206712964</v>
      </c>
    </row>
    <row r="26" spans="1:10" x14ac:dyDescent="0.25">
      <c r="A26">
        <v>1596</v>
      </c>
      <c r="B26">
        <v>4</v>
      </c>
      <c r="C26">
        <v>4</v>
      </c>
      <c r="D26" t="s">
        <v>3</v>
      </c>
      <c r="E26">
        <v>254</v>
      </c>
      <c r="F26">
        <v>70</v>
      </c>
      <c r="G26">
        <v>1</v>
      </c>
      <c r="H26" t="s">
        <v>117</v>
      </c>
      <c r="I26" s="11">
        <v>45116.119800578701</v>
      </c>
    </row>
    <row r="27" spans="1:10" x14ac:dyDescent="0.25">
      <c r="A27">
        <v>1595</v>
      </c>
      <c r="B27">
        <v>18</v>
      </c>
      <c r="C27">
        <v>3</v>
      </c>
      <c r="D27" t="s">
        <v>2</v>
      </c>
      <c r="E27">
        <v>32</v>
      </c>
      <c r="F27">
        <v>30</v>
      </c>
      <c r="G27">
        <v>1</v>
      </c>
      <c r="H27" t="s">
        <v>107</v>
      </c>
      <c r="I27" s="11">
        <v>45116.085793287035</v>
      </c>
    </row>
    <row r="28" spans="1:10" x14ac:dyDescent="0.25">
      <c r="A28">
        <v>1594</v>
      </c>
      <c r="B28">
        <v>21</v>
      </c>
      <c r="C28">
        <v>3</v>
      </c>
      <c r="D28" t="s">
        <v>2</v>
      </c>
      <c r="E28">
        <v>32</v>
      </c>
      <c r="F28">
        <v>30</v>
      </c>
      <c r="G28">
        <v>4</v>
      </c>
      <c r="H28" t="s">
        <v>117</v>
      </c>
      <c r="I28" s="11">
        <v>45116.083610416666</v>
      </c>
    </row>
    <row r="29" spans="1:10" x14ac:dyDescent="0.25">
      <c r="A29">
        <v>1593</v>
      </c>
      <c r="B29">
        <v>11</v>
      </c>
      <c r="C29">
        <v>5</v>
      </c>
      <c r="D29" t="s">
        <v>4</v>
      </c>
      <c r="E29">
        <v>6</v>
      </c>
      <c r="F29">
        <v>10</v>
      </c>
      <c r="G29">
        <v>1</v>
      </c>
      <c r="H29" t="s">
        <v>121</v>
      </c>
      <c r="I29" s="11">
        <v>45115.83501412037</v>
      </c>
    </row>
    <row r="30" spans="1:10" x14ac:dyDescent="0.25">
      <c r="A30">
        <v>1592</v>
      </c>
      <c r="B30">
        <v>12</v>
      </c>
      <c r="C30">
        <v>3</v>
      </c>
      <c r="D30" t="s">
        <v>2</v>
      </c>
      <c r="E30">
        <v>32</v>
      </c>
      <c r="F30">
        <v>30</v>
      </c>
      <c r="G30">
        <v>1</v>
      </c>
      <c r="H30" t="s">
        <v>121</v>
      </c>
      <c r="I30" s="11">
        <v>45115.830735532407</v>
      </c>
    </row>
    <row r="31" spans="1:10" x14ac:dyDescent="0.25">
      <c r="A31">
        <v>1591</v>
      </c>
      <c r="B31">
        <v>11</v>
      </c>
      <c r="C31">
        <v>3</v>
      </c>
      <c r="D31" t="s">
        <v>2</v>
      </c>
      <c r="E31">
        <v>32</v>
      </c>
      <c r="F31">
        <v>30</v>
      </c>
      <c r="G31">
        <v>1</v>
      </c>
      <c r="H31" t="s">
        <v>122</v>
      </c>
      <c r="I31" s="11">
        <v>45115.82918090278</v>
      </c>
    </row>
    <row r="32" spans="1:10" x14ac:dyDescent="0.25">
      <c r="A32">
        <v>1590</v>
      </c>
      <c r="B32">
        <v>4</v>
      </c>
      <c r="C32">
        <v>5</v>
      </c>
      <c r="D32" t="s">
        <v>4</v>
      </c>
      <c r="E32">
        <v>6</v>
      </c>
      <c r="F32">
        <v>10</v>
      </c>
      <c r="G32">
        <v>1</v>
      </c>
      <c r="H32" t="s">
        <v>117</v>
      </c>
      <c r="I32" s="11">
        <v>45115.827861921294</v>
      </c>
    </row>
    <row r="33" spans="1:9" x14ac:dyDescent="0.25">
      <c r="A33">
        <v>1589</v>
      </c>
      <c r="B33">
        <v>11</v>
      </c>
      <c r="C33">
        <v>2</v>
      </c>
      <c r="D33" t="s">
        <v>1</v>
      </c>
      <c r="E33">
        <v>56</v>
      </c>
      <c r="F33">
        <v>20</v>
      </c>
      <c r="G33">
        <v>1</v>
      </c>
      <c r="H33" t="s">
        <v>117</v>
      </c>
      <c r="I33" s="11">
        <v>45115.817556712966</v>
      </c>
    </row>
    <row r="34" spans="1:9" x14ac:dyDescent="0.25">
      <c r="A34">
        <v>1588</v>
      </c>
      <c r="B34">
        <v>18</v>
      </c>
      <c r="C34">
        <v>3</v>
      </c>
      <c r="D34" t="s">
        <v>2</v>
      </c>
      <c r="E34">
        <v>32</v>
      </c>
      <c r="F34">
        <v>30</v>
      </c>
      <c r="G34">
        <v>1</v>
      </c>
      <c r="H34" t="s">
        <v>121</v>
      </c>
      <c r="I34" s="11">
        <v>45115.816051851849</v>
      </c>
    </row>
    <row r="35" spans="1:9" x14ac:dyDescent="0.25">
      <c r="A35">
        <v>1587</v>
      </c>
      <c r="B35">
        <v>20</v>
      </c>
      <c r="C35">
        <v>3</v>
      </c>
      <c r="D35" t="s">
        <v>2</v>
      </c>
      <c r="E35">
        <v>32</v>
      </c>
      <c r="F35">
        <v>30</v>
      </c>
      <c r="G35">
        <v>1</v>
      </c>
      <c r="H35" t="s">
        <v>121</v>
      </c>
      <c r="I35" s="11">
        <v>45115.803246875003</v>
      </c>
    </row>
    <row r="36" spans="1:9" x14ac:dyDescent="0.25">
      <c r="A36">
        <v>1586</v>
      </c>
      <c r="B36">
        <v>20</v>
      </c>
      <c r="C36">
        <v>5</v>
      </c>
      <c r="D36" t="s">
        <v>4</v>
      </c>
      <c r="E36">
        <v>6</v>
      </c>
      <c r="F36">
        <v>10</v>
      </c>
      <c r="G36">
        <v>1</v>
      </c>
      <c r="H36" t="s">
        <v>117</v>
      </c>
      <c r="I36" s="11">
        <v>45115.802335879627</v>
      </c>
    </row>
    <row r="37" spans="1:9" x14ac:dyDescent="0.25">
      <c r="A37">
        <v>1585</v>
      </c>
      <c r="B37">
        <v>20</v>
      </c>
      <c r="C37">
        <v>5</v>
      </c>
      <c r="D37" t="s">
        <v>4</v>
      </c>
      <c r="E37">
        <v>6</v>
      </c>
      <c r="F37">
        <v>10</v>
      </c>
      <c r="G37">
        <v>1</v>
      </c>
      <c r="H37" t="s">
        <v>117</v>
      </c>
      <c r="I37" s="11">
        <v>45115.787150231481</v>
      </c>
    </row>
    <row r="38" spans="1:9" x14ac:dyDescent="0.25">
      <c r="A38">
        <v>1584</v>
      </c>
      <c r="B38">
        <v>8</v>
      </c>
      <c r="C38">
        <v>8</v>
      </c>
      <c r="D38" t="s">
        <v>97</v>
      </c>
      <c r="E38">
        <v>62</v>
      </c>
      <c r="F38">
        <v>3</v>
      </c>
      <c r="G38">
        <v>1</v>
      </c>
      <c r="H38" t="s">
        <v>117</v>
      </c>
      <c r="I38" s="11">
        <v>45115.766961111112</v>
      </c>
    </row>
    <row r="39" spans="1:9" x14ac:dyDescent="0.25">
      <c r="A39">
        <v>1584</v>
      </c>
      <c r="B39">
        <v>8</v>
      </c>
      <c r="C39">
        <v>5</v>
      </c>
      <c r="D39" t="s">
        <v>4</v>
      </c>
      <c r="E39">
        <v>6</v>
      </c>
      <c r="F39">
        <v>10</v>
      </c>
      <c r="G39">
        <v>1</v>
      </c>
      <c r="H39" t="s">
        <v>117</v>
      </c>
      <c r="I39" s="11">
        <v>45115.766955208332</v>
      </c>
    </row>
    <row r="40" spans="1:9" x14ac:dyDescent="0.25">
      <c r="A40">
        <v>1583</v>
      </c>
      <c r="B40">
        <v>19</v>
      </c>
      <c r="C40">
        <v>2</v>
      </c>
      <c r="D40" t="s">
        <v>1</v>
      </c>
      <c r="E40">
        <v>56</v>
      </c>
      <c r="F40">
        <v>20</v>
      </c>
      <c r="G40">
        <v>1</v>
      </c>
      <c r="H40" t="s">
        <v>107</v>
      </c>
      <c r="I40" s="11">
        <v>45113.972489583335</v>
      </c>
    </row>
    <row r="41" spans="1:9" x14ac:dyDescent="0.25">
      <c r="A41">
        <v>1583</v>
      </c>
      <c r="B41">
        <v>19</v>
      </c>
      <c r="C41">
        <v>5</v>
      </c>
      <c r="D41" t="s">
        <v>4</v>
      </c>
      <c r="E41">
        <v>6</v>
      </c>
      <c r="F41">
        <v>10</v>
      </c>
      <c r="G41">
        <v>1</v>
      </c>
      <c r="H41" t="s">
        <v>107</v>
      </c>
      <c r="I41" s="11">
        <v>45113.972485763887</v>
      </c>
    </row>
    <row r="42" spans="1:9" x14ac:dyDescent="0.25">
      <c r="A42">
        <v>1582</v>
      </c>
      <c r="B42">
        <v>1</v>
      </c>
      <c r="C42">
        <v>1</v>
      </c>
      <c r="D42" t="s">
        <v>94</v>
      </c>
      <c r="E42">
        <v>10</v>
      </c>
      <c r="F42">
        <v>9.9700000000000006</v>
      </c>
      <c r="G42">
        <v>1</v>
      </c>
      <c r="H42" t="s">
        <v>107</v>
      </c>
      <c r="I42" s="11">
        <v>45106.977383333331</v>
      </c>
    </row>
    <row r="43" spans="1:9" x14ac:dyDescent="0.25">
      <c r="A43">
        <v>1582</v>
      </c>
      <c r="B43">
        <v>1</v>
      </c>
      <c r="C43">
        <v>5</v>
      </c>
      <c r="D43" t="s">
        <v>4</v>
      </c>
      <c r="E43">
        <v>6</v>
      </c>
      <c r="F43">
        <v>10</v>
      </c>
      <c r="G43">
        <v>1</v>
      </c>
      <c r="H43" t="s">
        <v>107</v>
      </c>
      <c r="I43" s="11">
        <v>45106.977376273149</v>
      </c>
    </row>
    <row r="44" spans="1:9" x14ac:dyDescent="0.25">
      <c r="A44">
        <v>1581</v>
      </c>
      <c r="B44">
        <v>1</v>
      </c>
      <c r="C44">
        <v>1</v>
      </c>
      <c r="D44" t="s">
        <v>94</v>
      </c>
      <c r="E44">
        <v>10</v>
      </c>
      <c r="F44">
        <v>9.9700000000000006</v>
      </c>
      <c r="G44">
        <v>1</v>
      </c>
      <c r="H44" t="s">
        <v>107</v>
      </c>
      <c r="I44" s="11">
        <v>45106.977035532407</v>
      </c>
    </row>
    <row r="45" spans="1:9" x14ac:dyDescent="0.25">
      <c r="A45">
        <v>1581</v>
      </c>
      <c r="B45">
        <v>1</v>
      </c>
      <c r="C45">
        <v>5</v>
      </c>
      <c r="D45" t="s">
        <v>4</v>
      </c>
      <c r="E45">
        <v>6</v>
      </c>
      <c r="F45">
        <v>10</v>
      </c>
      <c r="G45">
        <v>1</v>
      </c>
      <c r="H45" t="s">
        <v>107</v>
      </c>
      <c r="I45" s="11">
        <v>45106.977031712966</v>
      </c>
    </row>
    <row r="46" spans="1:9" x14ac:dyDescent="0.25">
      <c r="A46">
        <v>1580</v>
      </c>
      <c r="B46">
        <v>1</v>
      </c>
      <c r="C46">
        <v>5</v>
      </c>
      <c r="D46" t="s">
        <v>4</v>
      </c>
      <c r="E46">
        <v>6</v>
      </c>
      <c r="F46">
        <v>10</v>
      </c>
      <c r="G46">
        <v>1</v>
      </c>
      <c r="H46" t="s">
        <v>107</v>
      </c>
      <c r="I46" s="11">
        <v>45106.074051967589</v>
      </c>
    </row>
    <row r="47" spans="1:9" x14ac:dyDescent="0.25">
      <c r="A47">
        <v>1580</v>
      </c>
      <c r="B47">
        <v>1</v>
      </c>
      <c r="C47">
        <v>3</v>
      </c>
      <c r="D47" t="s">
        <v>2</v>
      </c>
      <c r="E47">
        <v>32</v>
      </c>
      <c r="F47">
        <v>30</v>
      </c>
      <c r="G47">
        <v>1</v>
      </c>
      <c r="H47" t="s">
        <v>107</v>
      </c>
      <c r="I47" s="11">
        <v>45106.074048379633</v>
      </c>
    </row>
    <row r="48" spans="1:9" x14ac:dyDescent="0.25">
      <c r="A48">
        <v>1579</v>
      </c>
      <c r="B48">
        <v>4</v>
      </c>
      <c r="C48">
        <v>4</v>
      </c>
      <c r="D48" t="s">
        <v>3</v>
      </c>
      <c r="E48">
        <v>254</v>
      </c>
      <c r="F48">
        <v>70</v>
      </c>
      <c r="G48">
        <v>1</v>
      </c>
      <c r="H48" t="s">
        <v>107</v>
      </c>
      <c r="I48" s="11">
        <v>45106.062903240738</v>
      </c>
    </row>
    <row r="49" spans="1:9" x14ac:dyDescent="0.25">
      <c r="A49">
        <v>1579</v>
      </c>
      <c r="B49">
        <v>4</v>
      </c>
      <c r="C49">
        <v>6</v>
      </c>
      <c r="D49" t="s">
        <v>5</v>
      </c>
      <c r="E49">
        <v>987</v>
      </c>
      <c r="F49">
        <v>7</v>
      </c>
      <c r="G49">
        <v>1</v>
      </c>
      <c r="H49" t="s">
        <v>107</v>
      </c>
      <c r="I49" s="11">
        <v>45106.062899537035</v>
      </c>
    </row>
    <row r="50" spans="1:9" x14ac:dyDescent="0.25">
      <c r="A50">
        <v>1578</v>
      </c>
      <c r="B50">
        <v>4</v>
      </c>
      <c r="C50">
        <v>4</v>
      </c>
      <c r="D50" t="s">
        <v>3</v>
      </c>
      <c r="E50">
        <v>254</v>
      </c>
      <c r="F50">
        <v>70</v>
      </c>
      <c r="G50">
        <v>1</v>
      </c>
      <c r="H50" t="s">
        <v>107</v>
      </c>
      <c r="I50" s="11">
        <v>45106.054710069446</v>
      </c>
    </row>
    <row r="51" spans="1:9" x14ac:dyDescent="0.25">
      <c r="A51">
        <v>1577</v>
      </c>
      <c r="B51">
        <v>4</v>
      </c>
      <c r="C51">
        <v>4</v>
      </c>
      <c r="D51" t="s">
        <v>3</v>
      </c>
      <c r="E51">
        <v>254</v>
      </c>
      <c r="F51">
        <v>70</v>
      </c>
      <c r="G51">
        <v>1</v>
      </c>
      <c r="H51" t="s">
        <v>107</v>
      </c>
      <c r="I51" s="11">
        <v>45106.051876967591</v>
      </c>
    </row>
    <row r="52" spans="1:9" x14ac:dyDescent="0.25">
      <c r="A52">
        <v>1576</v>
      </c>
      <c r="B52">
        <v>4</v>
      </c>
      <c r="C52">
        <v>4</v>
      </c>
      <c r="D52" t="s">
        <v>3</v>
      </c>
      <c r="E52">
        <v>254</v>
      </c>
      <c r="F52">
        <v>70</v>
      </c>
      <c r="G52">
        <v>1</v>
      </c>
      <c r="H52" t="s">
        <v>107</v>
      </c>
      <c r="I52" s="11">
        <v>45106.050050115744</v>
      </c>
    </row>
    <row r="53" spans="1:9" x14ac:dyDescent="0.25">
      <c r="A53">
        <v>1575</v>
      </c>
      <c r="B53">
        <v>18</v>
      </c>
      <c r="C53">
        <v>3</v>
      </c>
      <c r="D53" t="s">
        <v>2</v>
      </c>
      <c r="E53">
        <v>32</v>
      </c>
      <c r="F53">
        <v>30</v>
      </c>
      <c r="G53">
        <v>1</v>
      </c>
      <c r="H53" t="s">
        <v>107</v>
      </c>
      <c r="I53" s="11">
        <v>45106.038491550928</v>
      </c>
    </row>
    <row r="54" spans="1:9" x14ac:dyDescent="0.25">
      <c r="A54">
        <v>1575</v>
      </c>
      <c r="B54">
        <v>18</v>
      </c>
      <c r="C54">
        <v>3</v>
      </c>
      <c r="D54" t="s">
        <v>2</v>
      </c>
      <c r="E54">
        <v>32</v>
      </c>
      <c r="F54">
        <v>30</v>
      </c>
      <c r="G54">
        <v>1</v>
      </c>
      <c r="H54" t="s">
        <v>107</v>
      </c>
      <c r="I54" s="11">
        <v>45106.038486342593</v>
      </c>
    </row>
    <row r="55" spans="1:9" x14ac:dyDescent="0.25">
      <c r="A55">
        <v>1575</v>
      </c>
      <c r="B55">
        <v>18</v>
      </c>
      <c r="C55">
        <v>4</v>
      </c>
      <c r="D55" t="s">
        <v>3</v>
      </c>
      <c r="E55">
        <v>254</v>
      </c>
      <c r="F55">
        <v>70</v>
      </c>
      <c r="G55">
        <v>1</v>
      </c>
      <c r="H55" t="s">
        <v>107</v>
      </c>
      <c r="I55" s="11">
        <v>45106.038481249998</v>
      </c>
    </row>
    <row r="56" spans="1:9" x14ac:dyDescent="0.25">
      <c r="A56">
        <v>1575</v>
      </c>
      <c r="B56">
        <v>18</v>
      </c>
      <c r="C56">
        <v>5</v>
      </c>
      <c r="D56" t="s">
        <v>4</v>
      </c>
      <c r="E56">
        <v>6</v>
      </c>
      <c r="F56">
        <v>10</v>
      </c>
      <c r="G56">
        <v>1</v>
      </c>
      <c r="H56" t="s">
        <v>107</v>
      </c>
      <c r="I56" s="11">
        <v>45106.038476388887</v>
      </c>
    </row>
    <row r="57" spans="1:9" x14ac:dyDescent="0.25">
      <c r="A57">
        <v>1575</v>
      </c>
      <c r="B57">
        <v>18</v>
      </c>
      <c r="C57">
        <v>15</v>
      </c>
      <c r="D57" t="s">
        <v>103</v>
      </c>
      <c r="E57">
        <v>14</v>
      </c>
      <c r="F57">
        <v>7</v>
      </c>
      <c r="G57">
        <v>1</v>
      </c>
      <c r="H57" t="s">
        <v>107</v>
      </c>
      <c r="I57" s="11">
        <v>45106.038471527776</v>
      </c>
    </row>
    <row r="58" spans="1:9" x14ac:dyDescent="0.25">
      <c r="A58">
        <v>1575</v>
      </c>
      <c r="B58">
        <v>18</v>
      </c>
      <c r="C58">
        <v>7</v>
      </c>
      <c r="D58" t="s">
        <v>95</v>
      </c>
      <c r="E58">
        <v>3254</v>
      </c>
      <c r="F58">
        <v>3</v>
      </c>
      <c r="G58">
        <v>1</v>
      </c>
      <c r="H58" t="s">
        <v>107</v>
      </c>
      <c r="I58" s="11">
        <v>45106.038466435188</v>
      </c>
    </row>
    <row r="59" spans="1:9" x14ac:dyDescent="0.25">
      <c r="A59">
        <v>1575</v>
      </c>
      <c r="B59">
        <v>18</v>
      </c>
      <c r="C59">
        <v>4</v>
      </c>
      <c r="D59" t="s">
        <v>3</v>
      </c>
      <c r="E59">
        <v>254</v>
      </c>
      <c r="F59">
        <v>70</v>
      </c>
      <c r="G59">
        <v>1</v>
      </c>
      <c r="H59" t="s">
        <v>107</v>
      </c>
      <c r="I59" s="11">
        <v>45106.038461574077</v>
      </c>
    </row>
    <row r="60" spans="1:9" x14ac:dyDescent="0.25">
      <c r="A60">
        <v>1575</v>
      </c>
      <c r="B60">
        <v>18</v>
      </c>
      <c r="C60">
        <v>7</v>
      </c>
      <c r="D60" t="s">
        <v>95</v>
      </c>
      <c r="E60">
        <v>3254</v>
      </c>
      <c r="F60">
        <v>3</v>
      </c>
      <c r="G60">
        <v>1</v>
      </c>
      <c r="H60" t="s">
        <v>107</v>
      </c>
      <c r="I60" s="11">
        <v>45106.038456828705</v>
      </c>
    </row>
    <row r="61" spans="1:9" x14ac:dyDescent="0.25">
      <c r="A61">
        <v>1575</v>
      </c>
      <c r="B61">
        <v>18</v>
      </c>
      <c r="C61">
        <v>8</v>
      </c>
      <c r="D61" t="s">
        <v>97</v>
      </c>
      <c r="E61">
        <v>62</v>
      </c>
      <c r="F61">
        <v>3</v>
      </c>
      <c r="G61">
        <v>1</v>
      </c>
      <c r="H61" t="s">
        <v>107</v>
      </c>
      <c r="I61" s="11">
        <v>45106.038452546294</v>
      </c>
    </row>
    <row r="62" spans="1:9" x14ac:dyDescent="0.25">
      <c r="A62">
        <v>1575</v>
      </c>
      <c r="B62">
        <v>18</v>
      </c>
      <c r="C62">
        <v>7</v>
      </c>
      <c r="D62" t="s">
        <v>95</v>
      </c>
      <c r="E62">
        <v>3254</v>
      </c>
      <c r="F62">
        <v>3</v>
      </c>
      <c r="G62">
        <v>1</v>
      </c>
      <c r="H62" t="s">
        <v>107</v>
      </c>
      <c r="I62" s="11">
        <v>45106.038448032406</v>
      </c>
    </row>
    <row r="63" spans="1:9" x14ac:dyDescent="0.25">
      <c r="A63">
        <v>1575</v>
      </c>
      <c r="B63">
        <v>18</v>
      </c>
      <c r="C63">
        <v>14</v>
      </c>
      <c r="D63" t="s">
        <v>102</v>
      </c>
      <c r="E63">
        <v>2</v>
      </c>
      <c r="F63">
        <v>6</v>
      </c>
      <c r="G63">
        <v>1</v>
      </c>
      <c r="H63" t="s">
        <v>107</v>
      </c>
      <c r="I63" s="11">
        <v>45106.038443634257</v>
      </c>
    </row>
    <row r="64" spans="1:9" x14ac:dyDescent="0.25">
      <c r="A64">
        <v>1575</v>
      </c>
      <c r="B64">
        <v>18</v>
      </c>
      <c r="C64">
        <v>15</v>
      </c>
      <c r="D64" t="s">
        <v>103</v>
      </c>
      <c r="E64">
        <v>14</v>
      </c>
      <c r="F64">
        <v>7</v>
      </c>
      <c r="G64">
        <v>1</v>
      </c>
      <c r="H64" t="s">
        <v>107</v>
      </c>
      <c r="I64" s="11">
        <v>45106.038439351854</v>
      </c>
    </row>
    <row r="65" spans="1:9" x14ac:dyDescent="0.25">
      <c r="A65">
        <v>1575</v>
      </c>
      <c r="B65">
        <v>18</v>
      </c>
      <c r="C65">
        <v>7</v>
      </c>
      <c r="D65" t="s">
        <v>95</v>
      </c>
      <c r="E65">
        <v>3254</v>
      </c>
      <c r="F65">
        <v>3</v>
      </c>
      <c r="G65">
        <v>1</v>
      </c>
      <c r="H65" t="s">
        <v>107</v>
      </c>
      <c r="I65" s="11">
        <v>45106.038434953705</v>
      </c>
    </row>
    <row r="66" spans="1:9" x14ac:dyDescent="0.25">
      <c r="A66">
        <v>1575</v>
      </c>
      <c r="B66">
        <v>18</v>
      </c>
      <c r="C66">
        <v>15</v>
      </c>
      <c r="D66" t="s">
        <v>103</v>
      </c>
      <c r="E66">
        <v>14</v>
      </c>
      <c r="F66">
        <v>7</v>
      </c>
      <c r="G66">
        <v>1</v>
      </c>
      <c r="H66" t="s">
        <v>107</v>
      </c>
      <c r="I66" s="11">
        <v>45106.038431018518</v>
      </c>
    </row>
    <row r="67" spans="1:9" x14ac:dyDescent="0.25">
      <c r="A67">
        <v>1575</v>
      </c>
      <c r="B67">
        <v>18</v>
      </c>
      <c r="C67">
        <v>14</v>
      </c>
      <c r="D67" t="s">
        <v>102</v>
      </c>
      <c r="E67">
        <v>2</v>
      </c>
      <c r="F67">
        <v>6</v>
      </c>
      <c r="G67">
        <v>1</v>
      </c>
      <c r="H67" t="s">
        <v>107</v>
      </c>
      <c r="I67" s="11">
        <v>45106.038427199077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B75D4-85A0-4015-B6DA-F7536A7567C6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VENDAS</vt:lpstr>
      <vt:lpstr>TABELA AUX</vt:lpstr>
      <vt:lpstr>CARRINHO</vt:lpstr>
      <vt:lpstr>PRODUTOS</vt:lpstr>
      <vt:lpstr>CLIENTES</vt:lpstr>
      <vt:lpstr>FUNCIONARIOS</vt:lpstr>
      <vt:lpstr>NOTINHA</vt:lpstr>
      <vt:lpstr>BANCO DE DADOS</vt:lpstr>
      <vt:lpstr>CATEGORIA DE 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SGT AQUINO</dc:creator>
  <cp:lastModifiedBy>SGT AQUINO</cp:lastModifiedBy>
  <cp:lastPrinted>2023-07-15T03:23:04Z</cp:lastPrinted>
  <dcterms:created xsi:type="dcterms:W3CDTF">2023-05-24T01:58:04Z</dcterms:created>
  <dcterms:modified xsi:type="dcterms:W3CDTF">2023-07-15T03:29:30Z</dcterms:modified>
</cp:coreProperties>
</file>